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8.xml" ContentType="application/vnd.openxmlformats-officedocument.drawing+xml"/>
  <Override PartName="/xl/slicers/slicer1.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D:\Data Science &amp; AI\Course 1 Excel\Capstone project\"/>
    </mc:Choice>
  </mc:AlternateContent>
  <xr:revisionPtr revIDLastSave="0" documentId="8_{85A9E9A7-BDD7-4ED9-9C41-B58DA78B3CED}" xr6:coauthVersionLast="47" xr6:coauthVersionMax="47" xr10:uidLastSave="{00000000-0000-0000-0000-000000000000}"/>
  <bookViews>
    <workbookView xWindow="-108" yWindow="-108" windowWidth="23256" windowHeight="12576" firstSheet="4" activeTab="8" xr2:uid="{00000000-000D-0000-FFFF-FFFF00000000}"/>
  </bookViews>
  <sheets>
    <sheet name="Cricket data" sheetId="11" r:id="rId1"/>
    <sheet name="PLAYERS" sheetId="16" r:id="rId2"/>
    <sheet name=" Players" sheetId="17" r:id="rId3"/>
    <sheet name="TEAM" sheetId="18" r:id="rId4"/>
    <sheet name="Team " sheetId="19" r:id="rId5"/>
    <sheet name="Highest Runs against" sheetId="20" r:id="rId6"/>
    <sheet name="Boundry hitting players " sheetId="21" r:id="rId7"/>
    <sheet name="Highest Partnership and Ranking" sheetId="22" r:id="rId8"/>
    <sheet name="dashboard" sheetId="23" r:id="rId9"/>
    <sheet name="High Scores" sheetId="2" state="hidden" r:id="rId10"/>
    <sheet name="Most Runs" sheetId="1" state="hidden" r:id="rId11"/>
  </sheets>
  <definedNames>
    <definedName name="_xlnm._FilterDatabase" localSheetId="0" hidden="1">'Cricket data'!$A$1:$R$51</definedName>
    <definedName name="Slicer_Player">#N/A</definedName>
    <definedName name="Slicer_Team">#N/A</definedName>
  </definedNames>
  <calcPr calcId="191029"/>
  <pivotCaches>
    <pivotCache cacheId="0" r:id="rId12"/>
    <pivotCache cacheId="1" r:id="rId13"/>
    <pivotCache cacheId="2"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3" i="11" l="1"/>
  <c r="AA4" i="11"/>
  <c r="AA5" i="11"/>
  <c r="AA6" i="11"/>
  <c r="AA7" i="11"/>
  <c r="AA8" i="11"/>
  <c r="AA9" i="11"/>
  <c r="AA10" i="11"/>
  <c r="AA11" i="11"/>
  <c r="AA12" i="11"/>
  <c r="AA13" i="11"/>
  <c r="AA14" i="11"/>
  <c r="AA15" i="11"/>
  <c r="AA16" i="11"/>
  <c r="AA17" i="11"/>
  <c r="AA18" i="11"/>
  <c r="AA19" i="11"/>
  <c r="AA20" i="11"/>
  <c r="AA21" i="11"/>
  <c r="AA22" i="11"/>
  <c r="AA23" i="11"/>
  <c r="AA24" i="11"/>
  <c r="AA25" i="11"/>
  <c r="AA26" i="11"/>
  <c r="AA27" i="11"/>
  <c r="AA28" i="11"/>
  <c r="AA29" i="11"/>
  <c r="AA30" i="11"/>
  <c r="AA31" i="11"/>
  <c r="AA32" i="11"/>
  <c r="AA33" i="11"/>
  <c r="AA34" i="11"/>
  <c r="AA35" i="11"/>
  <c r="AA36" i="11"/>
  <c r="AA37" i="11"/>
  <c r="AA38" i="11"/>
  <c r="AA39" i="11"/>
  <c r="AA40" i="11"/>
  <c r="AA41" i="11"/>
  <c r="AA42" i="11"/>
  <c r="AA43" i="11"/>
  <c r="AA44" i="11"/>
  <c r="AA45" i="11"/>
  <c r="AA46" i="11"/>
  <c r="AA47" i="11"/>
  <c r="AA48" i="11"/>
  <c r="AA49" i="11"/>
  <c r="AA50" i="11"/>
  <c r="AA51" i="11"/>
  <c r="AA2" i="11"/>
</calcChain>
</file>

<file path=xl/sharedStrings.xml><?xml version="1.0" encoding="utf-8"?>
<sst xmlns="http://schemas.openxmlformats.org/spreadsheetml/2006/main" count="851" uniqueCount="204">
  <si>
    <t>Player</t>
  </si>
  <si>
    <t>Runs</t>
  </si>
  <si>
    <t>Balls</t>
  </si>
  <si>
    <t>4s</t>
  </si>
  <si>
    <t>6s</t>
  </si>
  <si>
    <t>SR</t>
  </si>
  <si>
    <t>Team</t>
  </si>
  <si>
    <t>Opposition</t>
  </si>
  <si>
    <t>Ground</t>
  </si>
  <si>
    <t>Match Date</t>
  </si>
  <si>
    <t>Scorecard</t>
  </si>
  <si>
    <t>MP Stoinis</t>
  </si>
  <si>
    <t>147*</t>
  </si>
  <si>
    <t>Stars</t>
  </si>
  <si>
    <t>v Sixers</t>
  </si>
  <si>
    <t>Melbourne</t>
  </si>
  <si>
    <t>T20</t>
  </si>
  <si>
    <t>MS Wade</t>
  </si>
  <si>
    <t>130*</t>
  </si>
  <si>
    <t>Hurricanes</t>
  </si>
  <si>
    <t>v Strikers</t>
  </si>
  <si>
    <t>Adelaide</t>
  </si>
  <si>
    <t>AJ Finch</t>
  </si>
  <si>
    <t>Renegades</t>
  </si>
  <si>
    <t>Sydney</t>
  </si>
  <si>
    <t>DJM Short</t>
  </si>
  <si>
    <t>103*</t>
  </si>
  <si>
    <t>v Scorchers</t>
  </si>
  <si>
    <t>Perth</t>
  </si>
  <si>
    <t>CA Lynn</t>
  </si>
  <si>
    <t>Heat</t>
  </si>
  <si>
    <t>MR Marsh</t>
  </si>
  <si>
    <t>93*</t>
  </si>
  <si>
    <t>Scorchers</t>
  </si>
  <si>
    <t>v Heat</t>
  </si>
  <si>
    <t>DA Miller</t>
  </si>
  <si>
    <t>90*</t>
  </si>
  <si>
    <t>Launceston</t>
  </si>
  <si>
    <t>88*</t>
  </si>
  <si>
    <t>v Hurricanes</t>
  </si>
  <si>
    <t>Hobart</t>
  </si>
  <si>
    <t>AD Hales</t>
  </si>
  <si>
    <t>Thunder</t>
  </si>
  <si>
    <t>JR Philippe</t>
  </si>
  <si>
    <t>83*</t>
  </si>
  <si>
    <t>Sixers</t>
  </si>
  <si>
    <t>Coffs Harbour</t>
  </si>
  <si>
    <t>GJ Maxwell</t>
  </si>
  <si>
    <t>v Renegades</t>
  </si>
  <si>
    <t>Melbourne (Docklands)</t>
  </si>
  <si>
    <t>NCR Larkin</t>
  </si>
  <si>
    <t>v Thunder</t>
  </si>
  <si>
    <t>Carrara</t>
  </si>
  <si>
    <t>J Weatherald</t>
  </si>
  <si>
    <t>Strikers</t>
  </si>
  <si>
    <t>81*</t>
  </si>
  <si>
    <t>Moe</t>
  </si>
  <si>
    <t>TM Head</t>
  </si>
  <si>
    <t>LS Livingstone</t>
  </si>
  <si>
    <t>CJ Ferguson</t>
  </si>
  <si>
    <t>73*</t>
  </si>
  <si>
    <t>Brisbane</t>
  </si>
  <si>
    <t>SB Harper</t>
  </si>
  <si>
    <t>Geelong</t>
  </si>
  <si>
    <t>JP Inglis</t>
  </si>
  <si>
    <t>MC Henriques</t>
  </si>
  <si>
    <t>v Stars</t>
  </si>
  <si>
    <t>AB de Villiers</t>
  </si>
  <si>
    <t>M Wright</t>
  </si>
  <si>
    <t>70*</t>
  </si>
  <si>
    <t>JW Wells</t>
  </si>
  <si>
    <t>68*</t>
  </si>
  <si>
    <t>BJ Webster</t>
  </si>
  <si>
    <t>67*</t>
  </si>
  <si>
    <t>PD Salt</t>
  </si>
  <si>
    <t>SPD Smith</t>
  </si>
  <si>
    <t>66*</t>
  </si>
  <si>
    <t>UT Khawaja</t>
  </si>
  <si>
    <t>PSP Handscomb</t>
  </si>
  <si>
    <t>65*</t>
  </si>
  <si>
    <t>M Bryant</t>
  </si>
  <si>
    <t>MT Renshaw</t>
  </si>
  <si>
    <t>T Banton</t>
  </si>
  <si>
    <t>63*</t>
  </si>
  <si>
    <t>SE Marsh</t>
  </si>
  <si>
    <t>Mohammad Nabi</t>
  </si>
  <si>
    <t>HWR Cartwright</t>
  </si>
  <si>
    <t>AI Ross</t>
  </si>
  <si>
    <t>AT Carey</t>
  </si>
  <si>
    <t>CT Bancroft</t>
  </si>
  <si>
    <t>JC Silk</t>
  </si>
  <si>
    <t>BR McDermott</t>
  </si>
  <si>
    <t>BCJ Cutting</t>
  </si>
  <si>
    <t>JM Vince</t>
  </si>
  <si>
    <t>GJ Bailey</t>
  </si>
  <si>
    <t>DP Hughes</t>
  </si>
  <si>
    <t>CP Jewell</t>
  </si>
  <si>
    <t>MW Short</t>
  </si>
  <si>
    <t>NJ Maddinson</t>
  </si>
  <si>
    <t>SD Heazlett</t>
  </si>
  <si>
    <t>TK Curran</t>
  </si>
  <si>
    <t>DT Christian</t>
  </si>
  <si>
    <t>Rashid Khan</t>
  </si>
  <si>
    <t>MS Harris</t>
  </si>
  <si>
    <t>CH Morris</t>
  </si>
  <si>
    <t>Matches played</t>
  </si>
  <si>
    <t>Innings batted</t>
  </si>
  <si>
    <t>Not outs</t>
  </si>
  <si>
    <t>Total runs</t>
  </si>
  <si>
    <t>Highest score</t>
  </si>
  <si>
    <t>Batting average</t>
  </si>
  <si>
    <t>Balls faced</t>
  </si>
  <si>
    <t>Strike rate</t>
  </si>
  <si>
    <t>Number of centuries</t>
  </si>
  <si>
    <t>NO.of fifities</t>
  </si>
  <si>
    <t>Batting Average</t>
  </si>
  <si>
    <t>Balls Faced</t>
  </si>
  <si>
    <t>Strike Rate</t>
  </si>
  <si>
    <t>100's</t>
  </si>
  <si>
    <t>50's</t>
  </si>
  <si>
    <t>Innings</t>
  </si>
  <si>
    <t>Matches</t>
  </si>
  <si>
    <t>Not Outs</t>
  </si>
  <si>
    <t>Total Runs</t>
  </si>
  <si>
    <t>Highest Score</t>
  </si>
  <si>
    <t>MP Stoinis, HWR Cartwright</t>
  </si>
  <si>
    <t>1st</t>
  </si>
  <si>
    <t>MS Wade, DJM Short</t>
  </si>
  <si>
    <t>JP Inglis, LS Livingstone</t>
  </si>
  <si>
    <t>MR Marsh, CT Bancroft</t>
  </si>
  <si>
    <t>4th</t>
  </si>
  <si>
    <t>MP Stoinis, NCR Larkin</t>
  </si>
  <si>
    <t>2nd</t>
  </si>
  <si>
    <t>NCR Larkin, GJ Maxwell</t>
  </si>
  <si>
    <t>JM Vince, MC Henriques</t>
  </si>
  <si>
    <t>3rd</t>
  </si>
  <si>
    <t>JP Inglis, MR Marsh</t>
  </si>
  <si>
    <t>PD Salt, J Weatherald</t>
  </si>
  <si>
    <t>UT Khawaja, AD Hales</t>
  </si>
  <si>
    <t>AD Hales, UT Khawaja</t>
  </si>
  <si>
    <t>TM Head, JW Wells</t>
  </si>
  <si>
    <t>MS Wade, M Wright</t>
  </si>
  <si>
    <t>M Bryant, CA Lynn</t>
  </si>
  <si>
    <t>SE Marsh, BJ Webster</t>
  </si>
  <si>
    <t>T Banton, CA Lynn</t>
  </si>
  <si>
    <t>AT Carey, JW Wells</t>
  </si>
  <si>
    <t>AJ Finch, Mohammad Nabi</t>
  </si>
  <si>
    <t>J Weatherald, MW Short</t>
  </si>
  <si>
    <t>SE Marsh, MS Harris</t>
  </si>
  <si>
    <t>BJ Webster, Mohammad Nabi</t>
  </si>
  <si>
    <t>SD Heazlett, CA Lynn</t>
  </si>
  <si>
    <t>CJ Ferguson, M Gilkes</t>
  </si>
  <si>
    <t>NJ Maddinson, MP Stoinis</t>
  </si>
  <si>
    <t>JW Wells, MW Short</t>
  </si>
  <si>
    <t>5th</t>
  </si>
  <si>
    <t>PD Salt, TM Head</t>
  </si>
  <si>
    <t>MT Renshaw, AB de Villiers</t>
  </si>
  <si>
    <t>MR Marsh, C Green</t>
  </si>
  <si>
    <t>JR Philippe, JM Vince</t>
  </si>
  <si>
    <t>AJ Finch, SE Marsh</t>
  </si>
  <si>
    <t>DJM Short, BR McDermott</t>
  </si>
  <si>
    <t>SPD Smith, DP Hughes</t>
  </si>
  <si>
    <t>JR Philippe, DP Hughes</t>
  </si>
  <si>
    <t>UT Khawaja, CJ Ferguson</t>
  </si>
  <si>
    <t>JR Philippe, J Avendano</t>
  </si>
  <si>
    <t>J Weatherald, AT Carey</t>
  </si>
  <si>
    <t>SB Harper, BJ Webster</t>
  </si>
  <si>
    <t>J Weatherald, PD Salt</t>
  </si>
  <si>
    <t>AB de Villiers, M Labuschagne</t>
  </si>
  <si>
    <t>Partnership</t>
  </si>
  <si>
    <t>Partnership Runs</t>
  </si>
  <si>
    <t>For Team</t>
  </si>
  <si>
    <t>For wicket</t>
  </si>
  <si>
    <t>Partnership against Team</t>
  </si>
  <si>
    <t>Grand Total</t>
  </si>
  <si>
    <t>Players</t>
  </si>
  <si>
    <t xml:space="preserve"> Batting Average</t>
  </si>
  <si>
    <t xml:space="preserve"> Total Runs</t>
  </si>
  <si>
    <t xml:space="preserve"> Not Outs</t>
  </si>
  <si>
    <t xml:space="preserve"> Strike Rate</t>
  </si>
  <si>
    <t>players</t>
  </si>
  <si>
    <t xml:space="preserve"> Innings</t>
  </si>
  <si>
    <t xml:space="preserve"> 50's</t>
  </si>
  <si>
    <t xml:space="preserve"> 100's</t>
  </si>
  <si>
    <t>Team wise players</t>
  </si>
  <si>
    <t xml:space="preserve"> </t>
  </si>
  <si>
    <t>Teams</t>
  </si>
  <si>
    <t>Interpretation:</t>
  </si>
  <si>
    <t>Sum of Total Runs</t>
  </si>
  <si>
    <t>Interpretation</t>
  </si>
  <si>
    <t>interpretation</t>
  </si>
  <si>
    <t>Month</t>
  </si>
  <si>
    <t>Max of Highest Score</t>
  </si>
  <si>
    <t xml:space="preserve">                  </t>
  </si>
  <si>
    <t>Number of  100's</t>
  </si>
  <si>
    <t>Average of Boundries%</t>
  </si>
  <si>
    <t>Top Partnership Runs</t>
  </si>
  <si>
    <t>Performance Points</t>
  </si>
  <si>
    <t>(All)</t>
  </si>
  <si>
    <t xml:space="preserve"> Rankings </t>
  </si>
  <si>
    <t xml:space="preserve">Total Boundries </t>
  </si>
  <si>
    <t>Boundry Runs</t>
  </si>
  <si>
    <t>Boundries%</t>
  </si>
  <si>
    <t>Rankings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</si>
</sst>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0;[Red]0"/>
  </numFmts>
  <fonts count="4" x14ac:knownFonts="1">
    <font>
      <sz val="11"/>
      <color theme="1"/>
      <name val="Calibri"/>
      <family val="2"/>
      <scheme val="minor"/>
    </font>
    <font>
      <b/>
      <sz val="11"/>
      <color theme="1"/>
      <name val="Calibri"/>
      <family val="2"/>
      <scheme val="minor"/>
    </font>
    <font>
      <b/>
      <sz val="12"/>
      <color theme="1"/>
      <name val="Calibri"/>
      <family val="2"/>
      <scheme val="minor"/>
    </font>
    <font>
      <u/>
      <sz val="11"/>
      <color theme="1"/>
      <name val="Calibri"/>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39997558519241921"/>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24">
    <xf numFmtId="0" fontId="0" fillId="0" borderId="0" xfId="0"/>
    <xf numFmtId="15" fontId="0" fillId="0" borderId="0" xfId="0" applyNumberFormat="1"/>
    <xf numFmtId="0" fontId="1" fillId="2" borderId="0" xfId="0" applyFont="1" applyFill="1"/>
    <xf numFmtId="164" fontId="0" fillId="0" borderId="0" xfId="0" applyNumberFormat="1"/>
    <xf numFmtId="0" fontId="0" fillId="0" borderId="0" xfId="0" applyAlignment="1">
      <alignment horizontal="right"/>
    </xf>
    <xf numFmtId="0" fontId="2" fillId="3" borderId="0" xfId="0" applyFont="1" applyFill="1"/>
    <xf numFmtId="0" fontId="0" fillId="0" borderId="0" xfId="0" pivotButton="1"/>
    <xf numFmtId="0" fontId="0" fillId="0" borderId="0" xfId="0" applyAlignment="1">
      <alignment horizontal="left"/>
    </xf>
    <xf numFmtId="165" fontId="0" fillId="0" borderId="0" xfId="0" applyNumberFormat="1"/>
    <xf numFmtId="0" fontId="0" fillId="4" borderId="0" xfId="0" applyFill="1"/>
    <xf numFmtId="1" fontId="0" fillId="0" borderId="0" xfId="0" applyNumberFormat="1"/>
    <xf numFmtId="0" fontId="0" fillId="0" borderId="0" xfId="0" applyAlignment="1">
      <alignment horizontal="left" indent="1"/>
    </xf>
    <xf numFmtId="0" fontId="1" fillId="0" borderId="0" xfId="0" applyFont="1" applyAlignment="1">
      <alignment horizontal="left" vertical="center" indent="1"/>
    </xf>
    <xf numFmtId="0" fontId="0" fillId="3" borderId="0" xfId="0" applyFill="1"/>
    <xf numFmtId="0" fontId="3" fillId="0" borderId="0" xfId="0" applyFont="1"/>
    <xf numFmtId="0" fontId="0" fillId="2" borderId="0" xfId="0" applyFill="1"/>
    <xf numFmtId="0" fontId="0" fillId="5" borderId="0" xfId="0" applyFill="1"/>
    <xf numFmtId="0" fontId="0" fillId="6" borderId="0" xfId="0" applyFill="1"/>
    <xf numFmtId="0" fontId="1" fillId="3" borderId="0" xfId="0" applyFont="1" applyFill="1" applyAlignment="1">
      <alignment horizontal="center" vertical="center"/>
    </xf>
    <xf numFmtId="0" fontId="1" fillId="3" borderId="0" xfId="0" applyFont="1" applyFill="1" applyAlignment="1">
      <alignment horizontal="center"/>
    </xf>
    <xf numFmtId="0" fontId="0" fillId="3" borderId="0" xfId="0" applyFill="1" applyAlignment="1">
      <alignment horizontal="center"/>
    </xf>
    <xf numFmtId="0" fontId="1" fillId="2" borderId="0" xfId="0" applyFont="1" applyFill="1" applyAlignment="1">
      <alignment horizontal="center" vertical="center"/>
    </xf>
    <xf numFmtId="0" fontId="1"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[BBL_2019-2020_Batting final.xlsx]PLAYERS!PivotTable3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Top</a:t>
            </a:r>
            <a:r>
              <a:rPr lang="en-IN" b="1" baseline="0"/>
              <a:t> Run Scorer</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pivotFmt>
      <c:pivotFmt>
        <c:idx val="2"/>
        <c:spPr>
          <a:solidFill>
            <a:schemeClr val="tx1">
              <a:lumMod val="65000"/>
              <a:lumOff val="35000"/>
            </a:schemeClr>
          </a:solidFill>
          <a:ln>
            <a:noFill/>
          </a:ln>
          <a:effectLst/>
        </c:spPr>
      </c:pivotFmt>
      <c:pivotFmt>
        <c:idx val="3"/>
        <c:spPr>
          <a:solidFill>
            <a:schemeClr val="accent2">
              <a:lumMod val="75000"/>
            </a:schemeClr>
          </a:solidFill>
          <a:ln>
            <a:noFill/>
          </a:ln>
          <a:effectLst/>
        </c:spPr>
      </c:pivotFmt>
      <c:pivotFmt>
        <c:idx val="4"/>
        <c:spPr>
          <a:solidFill>
            <a:schemeClr val="accent5">
              <a:lumMod val="75000"/>
            </a:schemeClr>
          </a:solidFill>
          <a:ln>
            <a:noFill/>
          </a:ln>
          <a:effectLst/>
        </c:spPr>
      </c:pivotFmt>
      <c:pivotFmt>
        <c:idx val="5"/>
        <c:spPr>
          <a:solidFill>
            <a:srgbClr val="7030A0"/>
          </a:solidFill>
          <a:ln>
            <a:noFill/>
          </a:ln>
          <a:effectLst/>
        </c:spPr>
      </c:pivotFmt>
    </c:pivotFmts>
    <c:plotArea>
      <c:layout/>
      <c:barChart>
        <c:barDir val="bar"/>
        <c:grouping val="clustered"/>
        <c:varyColors val="0"/>
        <c:ser>
          <c:idx val="0"/>
          <c:order val="0"/>
          <c:tx>
            <c:strRef>
              <c:f>PLAYERS!$K$3</c:f>
              <c:strCache>
                <c:ptCount val="1"/>
                <c:pt idx="0">
                  <c:v>Total</c:v>
                </c:pt>
              </c:strCache>
            </c:strRef>
          </c:tx>
          <c:spPr>
            <a:solidFill>
              <a:schemeClr val="accent1"/>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5-BAAD-441B-9E58-C643985FFA44}"/>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4-BAAD-441B-9E58-C643985FFA44}"/>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3-BAAD-441B-9E58-C643985FFA44}"/>
              </c:ext>
            </c:extLst>
          </c:dPt>
          <c:dPt>
            <c:idx val="3"/>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2-BAAD-441B-9E58-C643985FFA44}"/>
              </c:ext>
            </c:extLst>
          </c:dPt>
          <c:dPt>
            <c:idx val="4"/>
            <c:invertIfNegative val="0"/>
            <c:bubble3D val="0"/>
            <c:spPr>
              <a:solidFill>
                <a:srgbClr val="FFFF00"/>
              </a:solidFill>
              <a:ln>
                <a:noFill/>
              </a:ln>
              <a:effectLst/>
            </c:spPr>
            <c:extLst>
              <c:ext xmlns:c16="http://schemas.microsoft.com/office/drawing/2014/chart" uri="{C3380CC4-5D6E-409C-BE32-E72D297353CC}">
                <c16:uniqueId val="{00000001-BAAD-441B-9E58-C643985FFA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PLAYERS!$J$4:$J$9</c:f>
              <c:strCache>
                <c:ptCount val="5"/>
                <c:pt idx="0">
                  <c:v>SE Marsh</c:v>
                </c:pt>
                <c:pt idx="1">
                  <c:v>JW Wells</c:v>
                </c:pt>
                <c:pt idx="2">
                  <c:v>JR Philippe</c:v>
                </c:pt>
                <c:pt idx="3">
                  <c:v>AD Hales</c:v>
                </c:pt>
                <c:pt idx="4">
                  <c:v>MP Stoinis</c:v>
                </c:pt>
              </c:strCache>
            </c:strRef>
          </c:cat>
          <c:val>
            <c:numRef>
              <c:f>PLAYERS!$K$4:$K$9</c:f>
              <c:numCache>
                <c:formatCode>General</c:formatCode>
                <c:ptCount val="5"/>
                <c:pt idx="0">
                  <c:v>449</c:v>
                </c:pt>
                <c:pt idx="1">
                  <c:v>478</c:v>
                </c:pt>
                <c:pt idx="2">
                  <c:v>487</c:v>
                </c:pt>
                <c:pt idx="3">
                  <c:v>576</c:v>
                </c:pt>
                <c:pt idx="4">
                  <c:v>705</c:v>
                </c:pt>
              </c:numCache>
            </c:numRef>
          </c:val>
          <c:extLst>
            <c:ext xmlns:c16="http://schemas.microsoft.com/office/drawing/2014/chart" uri="{C3380CC4-5D6E-409C-BE32-E72D297353CC}">
              <c16:uniqueId val="{00000000-2693-4689-9FDC-814023E54DBD}"/>
            </c:ext>
          </c:extLst>
        </c:ser>
        <c:dLbls>
          <c:dLblPos val="outEnd"/>
          <c:showLegendKey val="0"/>
          <c:showVal val="1"/>
          <c:showCatName val="0"/>
          <c:showSerName val="0"/>
          <c:showPercent val="0"/>
          <c:showBubbleSize val="0"/>
        </c:dLbls>
        <c:gapWidth val="182"/>
        <c:axId val="1731900831"/>
        <c:axId val="1731907551"/>
      </c:barChart>
      <c:catAx>
        <c:axId val="1731900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907551"/>
        <c:crosses val="autoZero"/>
        <c:auto val="1"/>
        <c:lblAlgn val="ctr"/>
        <c:lblOffset val="100"/>
        <c:noMultiLvlLbl val="0"/>
      </c:catAx>
      <c:valAx>
        <c:axId val="1731907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90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51055">
          <a:srgbClr val="DCEBD2"/>
        </a:gs>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[BBL_2019-2020_Batting final.xlsx]PLAYERS!PivotTable4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The</a:t>
            </a:r>
            <a:r>
              <a:rPr lang="en-IN" b="1" baseline="0"/>
              <a:t> Unbeaten heroes of the team</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b="1"/>
          </a:p>
        </c:rich>
      </c:tx>
      <c:layout>
        <c:manualLayout>
          <c:xMode val="edge"/>
          <c:yMode val="edge"/>
          <c:x val="0.17088351434178398"/>
          <c:y val="0.13960937284950214"/>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pivotFmt>
      <c:pivotFmt>
        <c:idx val="3"/>
        <c:spPr>
          <a:solidFill>
            <a:srgbClr val="92D050"/>
          </a:solidFill>
          <a:ln>
            <a:noFill/>
          </a:ln>
          <a:effectLst/>
        </c:spPr>
      </c:pivotFmt>
      <c:pivotFmt>
        <c:idx val="4"/>
        <c:spPr>
          <a:solidFill>
            <a:srgbClr val="00B050"/>
          </a:solidFill>
          <a:ln>
            <a:noFill/>
          </a:ln>
          <a:effectLst/>
        </c:spPr>
      </c:pivotFmt>
      <c:pivotFmt>
        <c:idx val="5"/>
        <c:spPr>
          <a:solidFill>
            <a:schemeClr val="accent6">
              <a:lumMod val="40000"/>
              <a:lumOff val="60000"/>
            </a:schemeClr>
          </a:solidFill>
          <a:ln>
            <a:noFill/>
          </a:ln>
          <a:effectLst/>
        </c:spPr>
      </c:pivotFmt>
      <c:pivotFmt>
        <c:idx val="6"/>
        <c:spPr>
          <a:solidFill>
            <a:schemeClr val="tx2">
              <a:lumMod val="60000"/>
              <a:lumOff val="40000"/>
            </a:schemeClr>
          </a:solidFill>
          <a:ln>
            <a:noFill/>
          </a:ln>
          <a:effectLst/>
        </c:spPr>
      </c:pivotFmt>
      <c:pivotFmt>
        <c:idx val="7"/>
        <c:spPr>
          <a:solidFill>
            <a:srgbClr val="FF0000"/>
          </a:solidFill>
          <a:ln>
            <a:noFill/>
          </a:ln>
          <a:effectLst/>
        </c:spPr>
      </c:pivotFmt>
      <c:pivotFmt>
        <c:idx val="8"/>
        <c:spPr>
          <a:solidFill>
            <a:srgbClr val="FF0000"/>
          </a:solidFill>
          <a:ln>
            <a:noFill/>
          </a:ln>
          <a:effectLst/>
        </c:spPr>
      </c:pivotFmt>
      <c:pivotFmt>
        <c:idx val="9"/>
        <c:spPr>
          <a:solidFill>
            <a:srgbClr val="FF0000"/>
          </a:solidFill>
          <a:ln>
            <a:noFill/>
          </a:ln>
          <a:effectLst/>
        </c:spPr>
      </c:pivotFmt>
      <c:pivotFmt>
        <c:idx val="10"/>
        <c:spPr>
          <a:solidFill>
            <a:srgbClr val="FF0000"/>
          </a:solidFill>
          <a:ln>
            <a:noFill/>
          </a:ln>
          <a:effectLst/>
        </c:spPr>
      </c:pivotFmt>
      <c:pivotFmt>
        <c:idx val="11"/>
        <c:spPr>
          <a:solidFill>
            <a:srgbClr val="FF0000"/>
          </a:solidFill>
          <a:ln>
            <a:noFill/>
          </a:ln>
          <a:effectLst/>
        </c:spPr>
        <c:dLbl>
          <c:idx val="0"/>
          <c:layout>
            <c:manualLayout>
              <c:x val="2.951778256191788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489808476571671"/>
          <c:y val="0.25818380994515872"/>
          <c:w val="0.3605148546496858"/>
          <c:h val="0.62428336685034869"/>
        </c:manualLayout>
      </c:layout>
      <c:barChart>
        <c:barDir val="bar"/>
        <c:grouping val="stacked"/>
        <c:varyColors val="0"/>
        <c:ser>
          <c:idx val="0"/>
          <c:order val="0"/>
          <c:tx>
            <c:strRef>
              <c:f>PLAYERS!$Q$3</c:f>
              <c:strCache>
                <c:ptCount val="1"/>
                <c:pt idx="0">
                  <c:v> Batting Average</c:v>
                </c:pt>
              </c:strCache>
            </c:strRef>
          </c:tx>
          <c:spPr>
            <a:solidFill>
              <a:schemeClr val="accent1"/>
            </a:solidFill>
            <a:ln>
              <a:noFill/>
            </a:ln>
            <a:effectLst/>
          </c:spPr>
          <c:invertIfNegative val="0"/>
          <c:dPt>
            <c:idx val="0"/>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4-EB03-4B7D-B5A6-1B5962624D14}"/>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EB03-4B7D-B5A6-1B5962624D14}"/>
              </c:ext>
            </c:extLst>
          </c:dPt>
          <c:dPt>
            <c:idx val="2"/>
            <c:invertIfNegative val="0"/>
            <c:bubble3D val="0"/>
            <c:spPr>
              <a:solidFill>
                <a:srgbClr val="00B050"/>
              </a:solidFill>
              <a:ln>
                <a:noFill/>
              </a:ln>
              <a:effectLst/>
            </c:spPr>
            <c:extLst>
              <c:ext xmlns:c16="http://schemas.microsoft.com/office/drawing/2014/chart" uri="{C3380CC4-5D6E-409C-BE32-E72D297353CC}">
                <c16:uniqueId val="{00000002-EB03-4B7D-B5A6-1B5962624D14}"/>
              </c:ext>
            </c:extLst>
          </c:dPt>
          <c:dPt>
            <c:idx val="3"/>
            <c:invertIfNegative val="0"/>
            <c:bubble3D val="0"/>
            <c:spPr>
              <a:solidFill>
                <a:srgbClr val="92D050"/>
              </a:solidFill>
              <a:ln>
                <a:noFill/>
              </a:ln>
              <a:effectLst/>
            </c:spPr>
            <c:extLst>
              <c:ext xmlns:c16="http://schemas.microsoft.com/office/drawing/2014/chart" uri="{C3380CC4-5D6E-409C-BE32-E72D297353CC}">
                <c16:uniqueId val="{00000001-EB03-4B7D-B5A6-1B5962624D14}"/>
              </c:ext>
            </c:extLst>
          </c:dPt>
          <c:dPt>
            <c:idx val="4"/>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EB03-4B7D-B5A6-1B5962624D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PLAYERS!$P$4:$P$9</c:f>
              <c:strCache>
                <c:ptCount val="5"/>
                <c:pt idx="0">
                  <c:v>M Wright</c:v>
                </c:pt>
                <c:pt idx="1">
                  <c:v>MS Wade</c:v>
                </c:pt>
                <c:pt idx="2">
                  <c:v>Mohammad Nabi</c:v>
                </c:pt>
                <c:pt idx="3">
                  <c:v>MP Stoinis</c:v>
                </c:pt>
                <c:pt idx="4">
                  <c:v>JW Wells</c:v>
                </c:pt>
              </c:strCache>
            </c:strRef>
          </c:cat>
          <c:val>
            <c:numRef>
              <c:f>PLAYERS!$Q$4:$Q$9</c:f>
              <c:numCache>
                <c:formatCode>0;[Red]0</c:formatCode>
                <c:ptCount val="5"/>
                <c:pt idx="0">
                  <c:v>49.66</c:v>
                </c:pt>
                <c:pt idx="1">
                  <c:v>50.14</c:v>
                </c:pt>
                <c:pt idx="2">
                  <c:v>53.33</c:v>
                </c:pt>
                <c:pt idx="3">
                  <c:v>54.23</c:v>
                </c:pt>
                <c:pt idx="4">
                  <c:v>68.28</c:v>
                </c:pt>
              </c:numCache>
            </c:numRef>
          </c:val>
          <c:extLst>
            <c:ext xmlns:c16="http://schemas.microsoft.com/office/drawing/2014/chart" uri="{C3380CC4-5D6E-409C-BE32-E72D297353CC}">
              <c16:uniqueId val="{00000000-65E3-436E-B3E8-F8B5BA5C452B}"/>
            </c:ext>
          </c:extLst>
        </c:ser>
        <c:ser>
          <c:idx val="1"/>
          <c:order val="1"/>
          <c:tx>
            <c:strRef>
              <c:f>PLAYERS!$R$3</c:f>
              <c:strCache>
                <c:ptCount val="1"/>
                <c:pt idx="0">
                  <c:v> Not Outs</c:v>
                </c:pt>
              </c:strCache>
            </c:strRef>
          </c:tx>
          <c:spPr>
            <a:solidFill>
              <a:srgbClr val="FF0000"/>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9-EB03-4B7D-B5A6-1B5962624D14}"/>
              </c:ext>
            </c:extLst>
          </c:dPt>
          <c:dPt>
            <c:idx val="1"/>
            <c:invertIfNegative val="0"/>
            <c:bubble3D val="0"/>
            <c:spPr>
              <a:solidFill>
                <a:srgbClr val="FF0000"/>
              </a:solidFill>
              <a:ln>
                <a:noFill/>
              </a:ln>
              <a:effectLst/>
            </c:spPr>
            <c:extLst>
              <c:ext xmlns:c16="http://schemas.microsoft.com/office/drawing/2014/chart" uri="{C3380CC4-5D6E-409C-BE32-E72D297353CC}">
                <c16:uniqueId val="{00000008-EB03-4B7D-B5A6-1B5962624D14}"/>
              </c:ext>
            </c:extLst>
          </c:dPt>
          <c:dPt>
            <c:idx val="2"/>
            <c:invertIfNegative val="0"/>
            <c:bubble3D val="0"/>
            <c:spPr>
              <a:solidFill>
                <a:srgbClr val="FF0000"/>
              </a:solidFill>
              <a:ln>
                <a:noFill/>
              </a:ln>
              <a:effectLst/>
            </c:spPr>
            <c:extLst>
              <c:ext xmlns:c16="http://schemas.microsoft.com/office/drawing/2014/chart" uri="{C3380CC4-5D6E-409C-BE32-E72D297353CC}">
                <c16:uniqueId val="{00000007-EB03-4B7D-B5A6-1B5962624D14}"/>
              </c:ext>
            </c:extLst>
          </c:dPt>
          <c:dPt>
            <c:idx val="3"/>
            <c:invertIfNegative val="0"/>
            <c:bubble3D val="0"/>
            <c:spPr>
              <a:solidFill>
                <a:srgbClr val="FF0000"/>
              </a:solidFill>
              <a:ln>
                <a:noFill/>
              </a:ln>
              <a:effectLst/>
            </c:spPr>
            <c:extLst>
              <c:ext xmlns:c16="http://schemas.microsoft.com/office/drawing/2014/chart" uri="{C3380CC4-5D6E-409C-BE32-E72D297353CC}">
                <c16:uniqueId val="{00000006-EB03-4B7D-B5A6-1B5962624D14}"/>
              </c:ext>
            </c:extLst>
          </c:dPt>
          <c:dPt>
            <c:idx val="4"/>
            <c:invertIfNegative val="0"/>
            <c:bubble3D val="0"/>
            <c:extLst>
              <c:ext xmlns:c16="http://schemas.microsoft.com/office/drawing/2014/chart" uri="{C3380CC4-5D6E-409C-BE32-E72D297353CC}">
                <c16:uniqueId val="{00000012-4DFA-4A82-9B88-4AF6C1D2BC75}"/>
              </c:ext>
            </c:extLst>
          </c:dPt>
          <c:dLbls>
            <c:dLbl>
              <c:idx val="4"/>
              <c:layout>
                <c:manualLayout>
                  <c:x val="2.951778256191788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DFA-4A82-9B88-4AF6C1D2BC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PLAYERS!$P$4:$P$9</c:f>
              <c:strCache>
                <c:ptCount val="5"/>
                <c:pt idx="0">
                  <c:v>M Wright</c:v>
                </c:pt>
                <c:pt idx="1">
                  <c:v>MS Wade</c:v>
                </c:pt>
                <c:pt idx="2">
                  <c:v>Mohammad Nabi</c:v>
                </c:pt>
                <c:pt idx="3">
                  <c:v>MP Stoinis</c:v>
                </c:pt>
                <c:pt idx="4">
                  <c:v>JW Wells</c:v>
                </c:pt>
              </c:strCache>
            </c:strRef>
          </c:cat>
          <c:val>
            <c:numRef>
              <c:f>PLAYERS!$R$4:$R$9</c:f>
              <c:numCache>
                <c:formatCode>General</c:formatCode>
                <c:ptCount val="5"/>
                <c:pt idx="0">
                  <c:v>1</c:v>
                </c:pt>
                <c:pt idx="1">
                  <c:v>1</c:v>
                </c:pt>
                <c:pt idx="2">
                  <c:v>3</c:v>
                </c:pt>
                <c:pt idx="3">
                  <c:v>4</c:v>
                </c:pt>
                <c:pt idx="4">
                  <c:v>7</c:v>
                </c:pt>
              </c:numCache>
            </c:numRef>
          </c:val>
          <c:extLst>
            <c:ext xmlns:c16="http://schemas.microsoft.com/office/drawing/2014/chart" uri="{C3380CC4-5D6E-409C-BE32-E72D297353CC}">
              <c16:uniqueId val="{00000001-65E3-436E-B3E8-F8B5BA5C452B}"/>
            </c:ext>
          </c:extLst>
        </c:ser>
        <c:dLbls>
          <c:dLblPos val="inBase"/>
          <c:showLegendKey val="0"/>
          <c:showVal val="1"/>
          <c:showCatName val="0"/>
          <c:showSerName val="0"/>
          <c:showPercent val="0"/>
          <c:showBubbleSize val="0"/>
        </c:dLbls>
        <c:gapWidth val="150"/>
        <c:overlap val="100"/>
        <c:axId val="1223505872"/>
        <c:axId val="1223506832"/>
      </c:barChart>
      <c:catAx>
        <c:axId val="122350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506832"/>
        <c:crosses val="autoZero"/>
        <c:auto val="1"/>
        <c:lblAlgn val="ctr"/>
        <c:lblOffset val="100"/>
        <c:noMultiLvlLbl val="0"/>
      </c:catAx>
      <c:valAx>
        <c:axId val="1223506832"/>
        <c:scaling>
          <c:orientation val="minMax"/>
        </c:scaling>
        <c:delete val="0"/>
        <c:axPos val="b"/>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50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[BBL_2019-2020_Batting final.xlsx] Players!PivotTable1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Performers: Speed &amp; Stability</a:t>
            </a:r>
            <a:endParaRPr lang="en-IN" b="1"/>
          </a:p>
        </c:rich>
      </c:tx>
      <c:layout>
        <c:manualLayout>
          <c:xMode val="edge"/>
          <c:yMode val="edge"/>
          <c:x val="0.290950907922224"/>
          <c:y val="0.1061380485334070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dLbl>
          <c:idx val="0"/>
          <c:layout>
            <c:manualLayout>
              <c:x val="-1.7847769028871516E-2"/>
              <c:y val="-5.084060329325787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25000"/>
            </a:schemeClr>
          </a:solidFill>
          <a:ln>
            <a:noFill/>
          </a:ln>
          <a:effectLst/>
        </c:spPr>
        <c:dLbl>
          <c:idx val="0"/>
          <c:layout>
            <c:manualLayout>
              <c:x val="-1.4437558895401766E-2"/>
              <c:y val="-1.109262340543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dLbl>
          <c:idx val="0"/>
          <c:layout>
            <c:manualLayout>
              <c:x val="-2.6540064844835697E-2"/>
              <c:y val="5.54631170271759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3345205581553827E-3"/>
              <c:y val="-1.0168120658651575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6">
              <a:lumMod val="75000"/>
            </a:schemeClr>
          </a:solidFill>
          <a:ln>
            <a:noFill/>
          </a:ln>
          <a:effectLst/>
        </c:spPr>
        <c:dLbl>
          <c:idx val="0"/>
          <c:layout>
            <c:manualLayout>
              <c:x val="1.5593106642602737E-2"/>
              <c:y val="-5.084060329325787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517238916564006"/>
          <c:y val="0.24029753956194072"/>
          <c:w val="0.55450256217972749"/>
          <c:h val="0.64565739589568849"/>
        </c:manualLayout>
      </c:layout>
      <c:barChart>
        <c:barDir val="bar"/>
        <c:grouping val="clustered"/>
        <c:varyColors val="0"/>
        <c:ser>
          <c:idx val="0"/>
          <c:order val="0"/>
          <c:tx>
            <c:strRef>
              <c:f>' Players'!$C$1</c:f>
              <c:strCache>
                <c:ptCount val="1"/>
                <c:pt idx="0">
                  <c:v> Strike Rate</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3-49BD-42B7-8A3B-8FC37F9944C5}"/>
              </c:ext>
            </c:extLst>
          </c:dPt>
          <c:dPt>
            <c:idx val="1"/>
            <c:invertIfNegative val="0"/>
            <c:bubble3D val="0"/>
            <c:spPr>
              <a:solidFill>
                <a:srgbClr val="7030A0"/>
              </a:solidFill>
              <a:ln>
                <a:noFill/>
              </a:ln>
              <a:effectLst/>
            </c:spPr>
            <c:extLst>
              <c:ext xmlns:c16="http://schemas.microsoft.com/office/drawing/2014/chart" uri="{C3380CC4-5D6E-409C-BE32-E72D297353CC}">
                <c16:uniqueId val="{00000002-49BD-42B7-8A3B-8FC37F9944C5}"/>
              </c:ext>
            </c:extLst>
          </c:dPt>
          <c:dPt>
            <c:idx val="2"/>
            <c:invertIfNegative val="0"/>
            <c:bubble3D val="0"/>
            <c:spPr>
              <a:solidFill>
                <a:schemeClr val="bg2">
                  <a:lumMod val="25000"/>
                </a:schemeClr>
              </a:solidFill>
              <a:ln>
                <a:noFill/>
              </a:ln>
              <a:effectLst/>
            </c:spPr>
            <c:extLst>
              <c:ext xmlns:c16="http://schemas.microsoft.com/office/drawing/2014/chart" uri="{C3380CC4-5D6E-409C-BE32-E72D297353CC}">
                <c16:uniqueId val="{00000001-49BD-42B7-8A3B-8FC37F9944C5}"/>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9-49BD-42B7-8A3B-8FC37F9944C5}"/>
              </c:ext>
            </c:extLst>
          </c:dPt>
          <c:dPt>
            <c:idx val="4"/>
            <c:invertIfNegative val="0"/>
            <c:bubble3D val="0"/>
            <c:spPr>
              <a:solidFill>
                <a:srgbClr val="FF0000"/>
              </a:solidFill>
              <a:ln>
                <a:noFill/>
              </a:ln>
              <a:effectLst/>
            </c:spPr>
            <c:extLst>
              <c:ext xmlns:c16="http://schemas.microsoft.com/office/drawing/2014/chart" uri="{C3380CC4-5D6E-409C-BE32-E72D297353CC}">
                <c16:uniqueId val="{00000000-49BD-42B7-8A3B-8FC37F9944C5}"/>
              </c:ext>
            </c:extLst>
          </c:dPt>
          <c:dLbls>
            <c:dLbl>
              <c:idx val="0"/>
              <c:layout>
                <c:manualLayout>
                  <c:x val="2.3345205581553827E-3"/>
                  <c:y val="-1.0168120658651575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BD-42B7-8A3B-8FC37F9944C5}"/>
                </c:ext>
              </c:extLst>
            </c:dLbl>
            <c:dLbl>
              <c:idx val="1"/>
              <c:layout>
                <c:manualLayout>
                  <c:x val="-2.6540064844835697E-2"/>
                  <c:y val="5.546311702717590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BD-42B7-8A3B-8FC37F9944C5}"/>
                </c:ext>
              </c:extLst>
            </c:dLbl>
            <c:dLbl>
              <c:idx val="2"/>
              <c:layout>
                <c:manualLayout>
                  <c:x val="-1.4437558895401766E-2"/>
                  <c:y val="-1.109262340543538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BD-42B7-8A3B-8FC37F9944C5}"/>
                </c:ext>
              </c:extLst>
            </c:dLbl>
            <c:dLbl>
              <c:idx val="3"/>
              <c:layout>
                <c:manualLayout>
                  <c:x val="1.5593106642602737E-2"/>
                  <c:y val="-5.084060329325787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BD-42B7-8A3B-8FC37F9944C5}"/>
                </c:ext>
              </c:extLst>
            </c:dLbl>
            <c:dLbl>
              <c:idx val="4"/>
              <c:layout>
                <c:manualLayout>
                  <c:x val="-1.7847769028871516E-2"/>
                  <c:y val="-5.084060329325787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BD-42B7-8A3B-8FC37F9944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Players'!$B$2:$B$7</c:f>
              <c:strCache>
                <c:ptCount val="5"/>
                <c:pt idx="0">
                  <c:v>M Wright</c:v>
                </c:pt>
                <c:pt idx="1">
                  <c:v>JW Wells</c:v>
                </c:pt>
                <c:pt idx="2">
                  <c:v>MP Stoinis</c:v>
                </c:pt>
                <c:pt idx="3">
                  <c:v>Mohammad Nabi</c:v>
                </c:pt>
                <c:pt idx="4">
                  <c:v>MS Wade</c:v>
                </c:pt>
              </c:strCache>
            </c:strRef>
          </c:cat>
          <c:val>
            <c:numRef>
              <c:f>' Players'!$C$2:$C$7</c:f>
              <c:numCache>
                <c:formatCode>0</c:formatCode>
                <c:ptCount val="5"/>
                <c:pt idx="0">
                  <c:v>125.21</c:v>
                </c:pt>
                <c:pt idx="1">
                  <c:v>135.41</c:v>
                </c:pt>
                <c:pt idx="2">
                  <c:v>136.62</c:v>
                </c:pt>
                <c:pt idx="3">
                  <c:v>160</c:v>
                </c:pt>
                <c:pt idx="4">
                  <c:v>171.21</c:v>
                </c:pt>
              </c:numCache>
            </c:numRef>
          </c:val>
          <c:extLst>
            <c:ext xmlns:c16="http://schemas.microsoft.com/office/drawing/2014/chart" uri="{C3380CC4-5D6E-409C-BE32-E72D297353CC}">
              <c16:uniqueId val="{00000000-2B47-46DC-91AD-1C603AB130BE}"/>
            </c:ext>
          </c:extLst>
        </c:ser>
        <c:ser>
          <c:idx val="1"/>
          <c:order val="1"/>
          <c:tx>
            <c:strRef>
              <c:f>' Players'!$D$1</c:f>
              <c:strCache>
                <c:ptCount val="1"/>
                <c:pt idx="0">
                  <c:v> Batting Average</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4-49BD-42B7-8A3B-8FC37F9944C5}"/>
              </c:ext>
            </c:extLst>
          </c:dPt>
          <c:dPt>
            <c:idx val="1"/>
            <c:invertIfNegative val="0"/>
            <c:bubble3D val="0"/>
            <c:extLst>
              <c:ext xmlns:c16="http://schemas.microsoft.com/office/drawing/2014/chart" uri="{C3380CC4-5D6E-409C-BE32-E72D297353CC}">
                <c16:uniqueId val="{00000005-49BD-42B7-8A3B-8FC37F9944C5}"/>
              </c:ext>
            </c:extLst>
          </c:dPt>
          <c:dPt>
            <c:idx val="2"/>
            <c:invertIfNegative val="0"/>
            <c:bubble3D val="0"/>
            <c:extLst>
              <c:ext xmlns:c16="http://schemas.microsoft.com/office/drawing/2014/chart" uri="{C3380CC4-5D6E-409C-BE32-E72D297353CC}">
                <c16:uniqueId val="{00000006-49BD-42B7-8A3B-8FC37F9944C5}"/>
              </c:ext>
            </c:extLst>
          </c:dPt>
          <c:dPt>
            <c:idx val="3"/>
            <c:invertIfNegative val="0"/>
            <c:bubble3D val="0"/>
            <c:extLst>
              <c:ext xmlns:c16="http://schemas.microsoft.com/office/drawing/2014/chart" uri="{C3380CC4-5D6E-409C-BE32-E72D297353CC}">
                <c16:uniqueId val="{00000007-49BD-42B7-8A3B-8FC37F9944C5}"/>
              </c:ext>
            </c:extLst>
          </c:dPt>
          <c:dPt>
            <c:idx val="4"/>
            <c:invertIfNegative val="0"/>
            <c:bubble3D val="0"/>
            <c:extLst>
              <c:ext xmlns:c16="http://schemas.microsoft.com/office/drawing/2014/chart" uri="{C3380CC4-5D6E-409C-BE32-E72D297353CC}">
                <c16:uniqueId val="{00000008-49BD-42B7-8A3B-8FC37F9944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Players'!$B$2:$B$7</c:f>
              <c:strCache>
                <c:ptCount val="5"/>
                <c:pt idx="0">
                  <c:v>M Wright</c:v>
                </c:pt>
                <c:pt idx="1">
                  <c:v>JW Wells</c:v>
                </c:pt>
                <c:pt idx="2">
                  <c:v>MP Stoinis</c:v>
                </c:pt>
                <c:pt idx="3">
                  <c:v>Mohammad Nabi</c:v>
                </c:pt>
                <c:pt idx="4">
                  <c:v>MS Wade</c:v>
                </c:pt>
              </c:strCache>
            </c:strRef>
          </c:cat>
          <c:val>
            <c:numRef>
              <c:f>' Players'!$D$2:$D$7</c:f>
              <c:numCache>
                <c:formatCode>0;[Red]0</c:formatCode>
                <c:ptCount val="5"/>
                <c:pt idx="0">
                  <c:v>49.66</c:v>
                </c:pt>
                <c:pt idx="1">
                  <c:v>68.28</c:v>
                </c:pt>
                <c:pt idx="2">
                  <c:v>54.23</c:v>
                </c:pt>
                <c:pt idx="3">
                  <c:v>53.33</c:v>
                </c:pt>
                <c:pt idx="4">
                  <c:v>50.14</c:v>
                </c:pt>
              </c:numCache>
            </c:numRef>
          </c:val>
          <c:extLst>
            <c:ext xmlns:c16="http://schemas.microsoft.com/office/drawing/2014/chart" uri="{C3380CC4-5D6E-409C-BE32-E72D297353CC}">
              <c16:uniqueId val="{00000001-2B47-46DC-91AD-1C603AB130BE}"/>
            </c:ext>
          </c:extLst>
        </c:ser>
        <c:dLbls>
          <c:dLblPos val="ctr"/>
          <c:showLegendKey val="0"/>
          <c:showVal val="1"/>
          <c:showCatName val="0"/>
          <c:showSerName val="0"/>
          <c:showPercent val="0"/>
          <c:showBubbleSize val="0"/>
        </c:dLbls>
        <c:gapWidth val="150"/>
        <c:axId val="2068684064"/>
        <c:axId val="2068693184"/>
      </c:barChart>
      <c:catAx>
        <c:axId val="2068684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693184"/>
        <c:crosses val="autoZero"/>
        <c:auto val="1"/>
        <c:lblAlgn val="ctr"/>
        <c:lblOffset val="100"/>
        <c:noMultiLvlLbl val="0"/>
      </c:catAx>
      <c:valAx>
        <c:axId val="20686931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684064"/>
        <c:crosses val="autoZero"/>
        <c:crossBetween val="between"/>
      </c:valAx>
      <c:spPr>
        <a:noFill/>
        <a:ln>
          <a:noFill/>
        </a:ln>
        <a:effectLst/>
      </c:spPr>
    </c:plotArea>
    <c:legend>
      <c:legendPos val="l"/>
      <c:layout>
        <c:manualLayout>
          <c:xMode val="edge"/>
          <c:yMode val="edge"/>
          <c:x val="2.6200135226504394E-2"/>
          <c:y val="0.62088120848454675"/>
          <c:w val="0.1847257936571316"/>
          <c:h val="0.362061917801040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[BBL_2019-2020_Batting final.xlsx] Players!PivotTable2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Most Consistent Players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1.6258453475306155E-2"/>
              <c:y val="-3.38694505292101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4.6087248572601413E-4"/>
              <c:y val="-2.46100816345325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1.9444444444444445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3.611111111111110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3.333333333333333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4.1666666666666664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layout>
            <c:manualLayout>
              <c:x val="-3.5281727224855189E-3"/>
              <c:y val="-4.13185193956018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1.9444444444444445E-2"/>
              <c:y val="1.388888888888888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1.8222222222222216E-2"/>
                  <c:h val="8.3264071157771929E-2"/>
                </c:manualLayout>
              </c15:layout>
            </c:ext>
          </c:extLst>
        </c:dLbl>
      </c:pivotFmt>
      <c:pivotFmt>
        <c:idx val="11"/>
      </c:pivotFmt>
      <c:pivotFmt>
        <c:idx val="12"/>
        <c:spPr>
          <a:solidFill>
            <a:schemeClr val="accent2"/>
          </a:solidFill>
          <a:ln>
            <a:noFill/>
          </a:ln>
          <a:effectLst/>
        </c:spPr>
      </c:pivotFmt>
      <c:pivotFmt>
        <c:idx val="13"/>
        <c:spPr>
          <a:solidFill>
            <a:schemeClr val="accent2">
              <a:lumMod val="60000"/>
              <a:lumOff val="40000"/>
            </a:schemeClr>
          </a:solidFill>
          <a:ln>
            <a:noFill/>
          </a:ln>
          <a:effectLst/>
        </c:spPr>
      </c:pivotFmt>
      <c:pivotFmt>
        <c:idx val="14"/>
        <c:spPr>
          <a:solidFill>
            <a:schemeClr val="accent2"/>
          </a:solidFill>
          <a:ln>
            <a:noFill/>
          </a:ln>
          <a:effectLst/>
        </c:spPr>
      </c:pivotFmt>
      <c:pivotFmt>
        <c:idx val="15"/>
        <c:spPr>
          <a:solidFill>
            <a:schemeClr val="accent2"/>
          </a:solidFill>
          <a:ln>
            <a:noFill/>
          </a:ln>
          <a:effectLst/>
        </c:spPr>
      </c:pivotFmt>
      <c:pivotFmt>
        <c:idx val="16"/>
        <c:spPr>
          <a:solidFill>
            <a:schemeClr val="accent2"/>
          </a:solidFill>
          <a:ln>
            <a:noFill/>
          </a:ln>
          <a:effectLst/>
        </c:spPr>
      </c:pivotFmt>
      <c:pivotFmt>
        <c:idx val="17"/>
        <c:spPr>
          <a:solidFill>
            <a:schemeClr val="accent6"/>
          </a:solidFill>
          <a:ln>
            <a:noFill/>
          </a:ln>
          <a:effectLst/>
        </c:spPr>
        <c:dLbl>
          <c:idx val="0"/>
          <c:layout>
            <c:manualLayout>
              <c:x val="1.5015015015014906E-2"/>
              <c:y val="5.058168942842644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dLbl>
          <c:idx val="0"/>
          <c:layout>
            <c:manualLayout>
              <c:x val="9.0090090090090089E-3"/>
              <c:y val="-1.01163378856853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60000"/>
              <a:lumOff val="40000"/>
            </a:schemeClr>
          </a:solidFill>
          <a:ln>
            <a:noFill/>
          </a:ln>
          <a:effectLst/>
        </c:spPr>
      </c:pivotFmt>
      <c:pivotFmt>
        <c:idx val="20"/>
        <c:spPr>
          <a:solidFill>
            <a:schemeClr val="accent6">
              <a:lumMod val="60000"/>
              <a:lumOff val="40000"/>
            </a:schemeClr>
          </a:solidFill>
          <a:ln>
            <a:noFill/>
          </a:ln>
          <a:effectLst/>
        </c:spPr>
      </c:pivotFmt>
      <c:pivotFmt>
        <c:idx val="21"/>
        <c:spPr>
          <a:solidFill>
            <a:schemeClr val="tx2">
              <a:lumMod val="60000"/>
              <a:lumOff val="40000"/>
            </a:schemeClr>
          </a:solidFill>
          <a:ln>
            <a:noFill/>
          </a:ln>
          <a:effectLst/>
        </c:spPr>
      </c:pivotFmt>
      <c:pivotFmt>
        <c:idx val="22"/>
        <c:spPr>
          <a:solidFill>
            <a:schemeClr val="accent4">
              <a:lumMod val="20000"/>
              <a:lumOff val="80000"/>
            </a:schemeClr>
          </a:solidFill>
          <a:ln>
            <a:noFill/>
          </a:ln>
          <a:effectLst/>
        </c:spPr>
      </c:pivotFmt>
    </c:pivotFmts>
    <c:plotArea>
      <c:layout>
        <c:manualLayout>
          <c:layoutTarget val="inner"/>
          <c:xMode val="edge"/>
          <c:yMode val="edge"/>
          <c:x val="0.2888047169459268"/>
          <c:y val="0.19882712029417376"/>
          <c:w val="0.51714619795748273"/>
          <c:h val="0.55745005558515714"/>
        </c:manualLayout>
      </c:layout>
      <c:barChart>
        <c:barDir val="col"/>
        <c:grouping val="stacked"/>
        <c:varyColors val="0"/>
        <c:ser>
          <c:idx val="0"/>
          <c:order val="0"/>
          <c:tx>
            <c:strRef>
              <c:f>' Players'!$K$2</c:f>
              <c:strCache>
                <c:ptCount val="1"/>
                <c:pt idx="0">
                  <c:v> Innings</c:v>
                </c:pt>
              </c:strCache>
            </c:strRef>
          </c:tx>
          <c:spPr>
            <a:solidFill>
              <a:schemeClr val="accent2"/>
            </a:solidFill>
            <a:ln>
              <a:noFill/>
            </a:ln>
            <a:effectLst/>
          </c:spPr>
          <c:invertIfNegative val="0"/>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C-E833-4442-9631-A7B35C1017D6}"/>
              </c:ext>
            </c:extLst>
          </c:dPt>
          <c:dPt>
            <c:idx val="3"/>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B-E833-4442-9631-A7B35C1017D6}"/>
              </c:ext>
            </c:extLst>
          </c:dPt>
          <c:dPt>
            <c:idx val="4"/>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A-E833-4442-9631-A7B35C1017D6}"/>
              </c:ext>
            </c:extLst>
          </c:dPt>
          <c:dPt>
            <c:idx val="5"/>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9-E833-4442-9631-A7B35C1017D6}"/>
              </c:ext>
            </c:extLst>
          </c:dPt>
          <c:dPt>
            <c:idx val="6"/>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0-E833-4442-9631-A7B35C1017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Players'!$J$3:$J$10</c:f>
              <c:strCache>
                <c:ptCount val="7"/>
                <c:pt idx="0">
                  <c:v>AD Hales</c:v>
                </c:pt>
                <c:pt idx="1">
                  <c:v>MP Stoinis</c:v>
                </c:pt>
                <c:pt idx="2">
                  <c:v>JR Philippe</c:v>
                </c:pt>
                <c:pt idx="3">
                  <c:v>PD Salt</c:v>
                </c:pt>
                <c:pt idx="4">
                  <c:v>JP Inglis</c:v>
                </c:pt>
                <c:pt idx="5">
                  <c:v>LS Livingstone</c:v>
                </c:pt>
                <c:pt idx="6">
                  <c:v>JW Wells</c:v>
                </c:pt>
              </c:strCache>
            </c:strRef>
          </c:cat>
          <c:val>
            <c:numRef>
              <c:f>' Players'!$K$3:$K$10</c:f>
              <c:numCache>
                <c:formatCode>General</c:formatCode>
                <c:ptCount val="7"/>
                <c:pt idx="0">
                  <c:v>17</c:v>
                </c:pt>
                <c:pt idx="1">
                  <c:v>17</c:v>
                </c:pt>
                <c:pt idx="2">
                  <c:v>16</c:v>
                </c:pt>
                <c:pt idx="3">
                  <c:v>15</c:v>
                </c:pt>
                <c:pt idx="4">
                  <c:v>14</c:v>
                </c:pt>
                <c:pt idx="5">
                  <c:v>14</c:v>
                </c:pt>
                <c:pt idx="6">
                  <c:v>14</c:v>
                </c:pt>
              </c:numCache>
            </c:numRef>
          </c:val>
          <c:extLst>
            <c:ext xmlns:c16="http://schemas.microsoft.com/office/drawing/2014/chart" uri="{C3380CC4-5D6E-409C-BE32-E72D297353CC}">
              <c16:uniqueId val="{00000000-CA8A-4219-B887-1F8415515086}"/>
            </c:ext>
          </c:extLst>
        </c:ser>
        <c:ser>
          <c:idx val="1"/>
          <c:order val="1"/>
          <c:tx>
            <c:strRef>
              <c:f>' Players'!$L$2</c:f>
              <c:strCache>
                <c:ptCount val="1"/>
                <c:pt idx="0">
                  <c:v> 50's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Players'!$J$3:$J$10</c:f>
              <c:strCache>
                <c:ptCount val="7"/>
                <c:pt idx="0">
                  <c:v>AD Hales</c:v>
                </c:pt>
                <c:pt idx="1">
                  <c:v>MP Stoinis</c:v>
                </c:pt>
                <c:pt idx="2">
                  <c:v>JR Philippe</c:v>
                </c:pt>
                <c:pt idx="3">
                  <c:v>PD Salt</c:v>
                </c:pt>
                <c:pt idx="4">
                  <c:v>JP Inglis</c:v>
                </c:pt>
                <c:pt idx="5">
                  <c:v>LS Livingstone</c:v>
                </c:pt>
                <c:pt idx="6">
                  <c:v>JW Wells</c:v>
                </c:pt>
              </c:strCache>
            </c:strRef>
          </c:cat>
          <c:val>
            <c:numRef>
              <c:f>' Players'!$L$3:$L$10</c:f>
              <c:numCache>
                <c:formatCode>0;[Red]0</c:formatCode>
                <c:ptCount val="7"/>
                <c:pt idx="0">
                  <c:v>6</c:v>
                </c:pt>
                <c:pt idx="1">
                  <c:v>6</c:v>
                </c:pt>
                <c:pt idx="2">
                  <c:v>5</c:v>
                </c:pt>
                <c:pt idx="3">
                  <c:v>4</c:v>
                </c:pt>
                <c:pt idx="4">
                  <c:v>4</c:v>
                </c:pt>
                <c:pt idx="5">
                  <c:v>4</c:v>
                </c:pt>
                <c:pt idx="6">
                  <c:v>4</c:v>
                </c:pt>
              </c:numCache>
            </c:numRef>
          </c:val>
          <c:extLst>
            <c:ext xmlns:c16="http://schemas.microsoft.com/office/drawing/2014/chart" uri="{C3380CC4-5D6E-409C-BE32-E72D297353CC}">
              <c16:uniqueId val="{00000001-CA8A-4219-B887-1F8415515086}"/>
            </c:ext>
          </c:extLst>
        </c:ser>
        <c:ser>
          <c:idx val="2"/>
          <c:order val="2"/>
          <c:tx>
            <c:strRef>
              <c:f>' Players'!$M$2</c:f>
              <c:strCache>
                <c:ptCount val="1"/>
                <c:pt idx="0">
                  <c:v> 100's</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5-CA8A-4219-B887-1F8415515086}"/>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4-CA8A-4219-B887-1F8415515086}"/>
              </c:ext>
            </c:extLst>
          </c:dPt>
          <c:dPt>
            <c:idx val="2"/>
            <c:invertIfNegative val="0"/>
            <c:bubble3D val="0"/>
            <c:extLst>
              <c:ext xmlns:c16="http://schemas.microsoft.com/office/drawing/2014/chart" uri="{C3380CC4-5D6E-409C-BE32-E72D297353CC}">
                <c16:uniqueId val="{00000006-CA8A-4219-B887-1F8415515086}"/>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3-E833-4442-9631-A7B35C1017D6}"/>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F-E833-4442-9631-A7B35C1017D6}"/>
              </c:ext>
            </c:extLst>
          </c:dPt>
          <c:dPt>
            <c:idx val="5"/>
            <c:invertIfNegative val="0"/>
            <c:bubble3D val="0"/>
            <c:extLst>
              <c:ext xmlns:c16="http://schemas.microsoft.com/office/drawing/2014/chart" uri="{C3380CC4-5D6E-409C-BE32-E72D297353CC}">
                <c16:uniqueId val="{0000000B-CA8A-4219-B887-1F8415515086}"/>
              </c:ext>
            </c:extLst>
          </c:dPt>
          <c:dPt>
            <c:idx val="6"/>
            <c:invertIfNegative val="0"/>
            <c:bubble3D val="0"/>
            <c:spPr>
              <a:solidFill>
                <a:schemeClr val="accent6"/>
              </a:solidFill>
              <a:ln>
                <a:noFill/>
              </a:ln>
              <a:effectLst/>
            </c:spPr>
            <c:extLst>
              <c:ext xmlns:c16="http://schemas.microsoft.com/office/drawing/2014/chart" uri="{C3380CC4-5D6E-409C-BE32-E72D297353CC}">
                <c16:uniqueId val="{0000000A-CA8A-4219-B887-1F8415515086}"/>
              </c:ext>
            </c:extLst>
          </c:dPt>
          <c:dPt>
            <c:idx val="7"/>
            <c:invertIfNegative val="0"/>
            <c:bubble3D val="0"/>
            <c:extLst>
              <c:ext xmlns:c16="http://schemas.microsoft.com/office/drawing/2014/chart" uri="{C3380CC4-5D6E-409C-BE32-E72D297353CC}">
                <c16:uniqueId val="{00000009-CA8A-4219-B887-1F8415515086}"/>
              </c:ext>
            </c:extLst>
          </c:dPt>
          <c:dPt>
            <c:idx val="8"/>
            <c:invertIfNegative val="0"/>
            <c:bubble3D val="0"/>
            <c:extLst>
              <c:ext xmlns:c16="http://schemas.microsoft.com/office/drawing/2014/chart" uri="{C3380CC4-5D6E-409C-BE32-E72D297353CC}">
                <c16:uniqueId val="{00000008-CA8A-4219-B887-1F8415515086}"/>
              </c:ext>
            </c:extLst>
          </c:dPt>
          <c:dPt>
            <c:idx val="9"/>
            <c:invertIfNegative val="0"/>
            <c:bubble3D val="0"/>
            <c:extLst>
              <c:ext xmlns:c16="http://schemas.microsoft.com/office/drawing/2014/chart" uri="{C3380CC4-5D6E-409C-BE32-E72D297353CC}">
                <c16:uniqueId val="{00000007-CA8A-4219-B887-1F8415515086}"/>
              </c:ext>
            </c:extLst>
          </c:dPt>
          <c:dLbls>
            <c:dLbl>
              <c:idx val="0"/>
              <c:layout>
                <c:manualLayout>
                  <c:x val="-4.6087248572601413E-4"/>
                  <c:y val="-2.461008163453256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A8A-4219-B887-1F8415515086}"/>
                </c:ext>
              </c:extLst>
            </c:dLbl>
            <c:dLbl>
              <c:idx val="1"/>
              <c:layout>
                <c:manualLayout>
                  <c:x val="-1.6258453475306155E-2"/>
                  <c:y val="-3.386945052921016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A8A-4219-B887-1F8415515086}"/>
                </c:ext>
              </c:extLst>
            </c:dLbl>
            <c:dLbl>
              <c:idx val="3"/>
              <c:layout>
                <c:manualLayout>
                  <c:x val="-3.5281727224855189E-3"/>
                  <c:y val="-4.131851939560186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833-4442-9631-A7B35C1017D6}"/>
                </c:ext>
              </c:extLst>
            </c:dLbl>
            <c:dLbl>
              <c:idx val="4"/>
              <c:layout>
                <c:manualLayout>
                  <c:x val="9.0090090090090089E-3"/>
                  <c:y val="-1.011633788568538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833-4442-9631-A7B35C1017D6}"/>
                </c:ext>
              </c:extLst>
            </c:dLbl>
            <c:dLbl>
              <c:idx val="6"/>
              <c:layout>
                <c:manualLayout>
                  <c:x val="1.5015015015014906E-2"/>
                  <c:y val="5.058168942842644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A8A-4219-B887-1F84155150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Players'!$J$3:$J$10</c:f>
              <c:strCache>
                <c:ptCount val="7"/>
                <c:pt idx="0">
                  <c:v>AD Hales</c:v>
                </c:pt>
                <c:pt idx="1">
                  <c:v>MP Stoinis</c:v>
                </c:pt>
                <c:pt idx="2">
                  <c:v>JR Philippe</c:v>
                </c:pt>
                <c:pt idx="3">
                  <c:v>PD Salt</c:v>
                </c:pt>
                <c:pt idx="4">
                  <c:v>JP Inglis</c:v>
                </c:pt>
                <c:pt idx="5">
                  <c:v>LS Livingstone</c:v>
                </c:pt>
                <c:pt idx="6">
                  <c:v>JW Wells</c:v>
                </c:pt>
              </c:strCache>
            </c:strRef>
          </c:cat>
          <c:val>
            <c:numRef>
              <c:f>' Players'!$M$3:$M$10</c:f>
              <c:numCache>
                <c:formatCode>General</c:formatCode>
                <c:ptCount val="7"/>
                <c:pt idx="0">
                  <c:v>0</c:v>
                </c:pt>
                <c:pt idx="1">
                  <c:v>1</c:v>
                </c:pt>
                <c:pt idx="2">
                  <c:v>0</c:v>
                </c:pt>
                <c:pt idx="3">
                  <c:v>0</c:v>
                </c:pt>
                <c:pt idx="4">
                  <c:v>0</c:v>
                </c:pt>
                <c:pt idx="5">
                  <c:v>0</c:v>
                </c:pt>
                <c:pt idx="6">
                  <c:v>0</c:v>
                </c:pt>
              </c:numCache>
            </c:numRef>
          </c:val>
          <c:extLst>
            <c:ext xmlns:c16="http://schemas.microsoft.com/office/drawing/2014/chart" uri="{C3380CC4-5D6E-409C-BE32-E72D297353CC}">
              <c16:uniqueId val="{00000002-CA8A-4219-B887-1F8415515086}"/>
            </c:ext>
          </c:extLst>
        </c:ser>
        <c:dLbls>
          <c:dLblPos val="ctr"/>
          <c:showLegendKey val="0"/>
          <c:showVal val="1"/>
          <c:showCatName val="0"/>
          <c:showSerName val="0"/>
          <c:showPercent val="0"/>
          <c:showBubbleSize val="0"/>
        </c:dLbls>
        <c:gapWidth val="68"/>
        <c:overlap val="100"/>
        <c:axId val="2068697984"/>
        <c:axId val="2068697024"/>
      </c:barChart>
      <c:catAx>
        <c:axId val="206869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697024"/>
        <c:crosses val="autoZero"/>
        <c:auto val="0"/>
        <c:lblAlgn val="ctr"/>
        <c:lblOffset val="100"/>
        <c:noMultiLvlLbl val="0"/>
      </c:catAx>
      <c:valAx>
        <c:axId val="206869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69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[BBL_2019-2020_Batting final.xlsx]TEAM!PivotTable6</c:name>
    <c:fmtId val="0"/>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Team-wise Average Strike Rate</a:t>
            </a:r>
            <a:endParaRPr lang="en-IN">
              <a:solidFill>
                <a:schemeClr val="tx1"/>
              </a:solidFill>
            </a:endParaRPr>
          </a:p>
        </c:rich>
      </c:tx>
      <c:layout>
        <c:manualLayout>
          <c:xMode val="edge"/>
          <c:yMode val="edge"/>
          <c:x val="0.19595252613625316"/>
          <c:y val="7.0266028304250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r>
                  <a:rPr lang="en-US" baseline="0"/>
                  <a:t> </a:t>
                </a:r>
                <a:fld id="{E0180E86-B3F5-4128-B652-6851BFC0F29D}" type="VALUE">
                  <a:rPr lang="en-US" baseline="0"/>
                  <a:pPr>
                    <a:defRPr>
                      <a:solidFill>
                        <a:schemeClr val="tx1"/>
                      </a:solidFill>
                    </a:defRPr>
                  </a:pPr>
                  <a:t>[VALUE]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4">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r>
                  <a:rPr lang="en-US" baseline="0"/>
                  <a:t> </a:t>
                </a:r>
                <a:fld id="{BB7811D9-5E59-4A51-8AF9-7FE068512FC0}" type="VALUE">
                  <a:rPr lang="en-US" baseline="0"/>
                  <a:pPr>
                    <a:defRPr>
                      <a:solidFill>
                        <a:schemeClr val="tx1"/>
                      </a:solidFill>
                    </a:defRPr>
                  </a:pPr>
                  <a:t>[VALUE]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2">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B42A1C2B-BE2D-48AA-95F4-2F344EFD6821}" type="VALUE">
                  <a:rPr lang="en-US" baseline="0"/>
                  <a:pPr>
                    <a:defRPr>
                      <a:solidFill>
                        <a:schemeClr val="tx1"/>
                      </a:solidFill>
                    </a:defRPr>
                  </a:pPr>
                  <a:t>[VALUE]</a:t>
                </a:fld>
                <a:endParaRPr lang="en-IN"/>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2"/>
          </a:solidFill>
          <a:ln>
            <a:noFill/>
          </a:ln>
          <a:effectLst>
            <a:outerShdw blurRad="57150" dist="19050" dir="5400000" algn="ctr" rotWithShape="0">
              <a:srgbClr val="000000">
                <a:alpha val="63000"/>
              </a:srgbClr>
            </a:outerShdw>
          </a:effectLst>
        </c:spPr>
        <c:dLbl>
          <c:idx val="0"/>
          <c:layout>
            <c:manualLayout>
              <c:x val="5.6116722783389446E-3"/>
              <c:y val="8.8843165961038015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r>
                  <a:rPr lang="en-US" baseline="0"/>
                  <a:t> </a:t>
                </a:r>
                <a:fld id="{1785B184-25BF-4B5E-A251-D2D04A13BEAB}" type="VALUE">
                  <a:rPr lang="en-US" baseline="0"/>
                  <a:pPr>
                    <a:defRPr>
                      <a:solidFill>
                        <a:schemeClr val="tx1"/>
                      </a:solidFill>
                    </a:defRPr>
                  </a:pPr>
                  <a:t>[VALUE]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rgbClr val="00B0F0"/>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F89C7FF8-A3BF-42C5-9A1E-7C3615802444}" type="VALUE">
                  <a:rPr lang="en-US" baseline="0"/>
                  <a:pPr>
                    <a:defRPr>
                      <a:solidFill>
                        <a:schemeClr val="tx1"/>
                      </a:solidFill>
                    </a:defRPr>
                  </a:pPr>
                  <a:t>[VALUE]</a:t>
                </a:fld>
                <a:endParaRPr lang="en-IN"/>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barChart>
        <c:barDir val="col"/>
        <c:grouping val="clustered"/>
        <c:varyColors val="0"/>
        <c:ser>
          <c:idx val="0"/>
          <c:order val="0"/>
          <c:tx>
            <c:strRef>
              <c:f>TEAM!$N$2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B0B5-432E-A142-A4909B047782}"/>
              </c:ext>
            </c:extLst>
          </c:dPt>
          <c:dPt>
            <c:idx val="1"/>
            <c:invertIfNegative val="0"/>
            <c:bubble3D val="0"/>
            <c:spPr>
              <a:solidFill>
                <a:schemeClr val="accent4">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0B5-432E-A142-A4909B047782}"/>
              </c:ext>
            </c:extLst>
          </c:dPt>
          <c:dPt>
            <c:idx val="2"/>
            <c:invertIfNegative val="0"/>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0B5-432E-A142-A4909B047782}"/>
              </c:ext>
            </c:extLst>
          </c:dPt>
          <c:dPt>
            <c:idx val="3"/>
            <c:invertIfNegative val="0"/>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B0B5-432E-A142-A4909B047782}"/>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0B5-432E-A142-A4909B047782}"/>
              </c:ext>
            </c:extLst>
          </c:dPt>
          <c:dLbls>
            <c:dLbl>
              <c:idx val="0"/>
              <c:layout>
                <c:manualLayout>
                  <c:x val="5.6116722783389446E-3"/>
                  <c:y val="8.8843165961038015E-3"/>
                </c:manualLayout>
              </c:layout>
              <c:tx>
                <c:rich>
                  <a:bodyPr/>
                  <a:lstStyle/>
                  <a:p>
                    <a:r>
                      <a:rPr lang="en-US" baseline="0"/>
                      <a:t> </a:t>
                    </a:r>
                    <a:fld id="{1785B184-25BF-4B5E-A251-D2D04A13BEAB}" type="VALUE">
                      <a:rPr lang="en-US" baseline="0"/>
                      <a:pPr/>
                      <a:t>[VALUE]</a:t>
                    </a:fld>
                    <a:endParaRPr lang="en-US" baseline="0"/>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B0B5-432E-A142-A4909B047782}"/>
                </c:ext>
              </c:extLst>
            </c:dLbl>
            <c:dLbl>
              <c:idx val="1"/>
              <c:tx>
                <c:rich>
                  <a:bodyPr/>
                  <a:lstStyle/>
                  <a:p>
                    <a:r>
                      <a:rPr lang="en-US" baseline="0"/>
                      <a:t> </a:t>
                    </a:r>
                    <a:fld id="{BB7811D9-5E59-4A51-8AF9-7FE068512FC0}" type="VALUE">
                      <a:rPr lang="en-US" baseline="0"/>
                      <a:pPr/>
                      <a:t>[VALUE]</a:t>
                    </a:fld>
                    <a:endParaRPr lang="en-US" baseline="0"/>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0B5-432E-A142-A4909B047782}"/>
                </c:ext>
              </c:extLst>
            </c:dLbl>
            <c:dLbl>
              <c:idx val="2"/>
              <c:tx>
                <c:rich>
                  <a:bodyPr/>
                  <a:lstStyle/>
                  <a:p>
                    <a:fld id="{F89C7FF8-A3BF-42C5-9A1E-7C3615802444}" type="VALUE">
                      <a:rPr lang="en-US" baseline="0"/>
                      <a:pPr/>
                      <a:t>[VALUE]</a:t>
                    </a:fld>
                    <a:endParaRPr lang="en-IN"/>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B0B5-432E-A142-A4909B047782}"/>
                </c:ext>
              </c:extLst>
            </c:dLbl>
            <c:dLbl>
              <c:idx val="3"/>
              <c:tx>
                <c:rich>
                  <a:bodyPr/>
                  <a:lstStyle/>
                  <a:p>
                    <a:fld id="{B42A1C2B-BE2D-48AA-95F4-2F344EFD6821}" type="VALUE">
                      <a:rPr lang="en-US" baseline="0"/>
                      <a:pPr/>
                      <a:t>[VALUE]</a:t>
                    </a:fld>
                    <a:endParaRPr lang="en-IN"/>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B0B5-432E-A142-A4909B047782}"/>
                </c:ext>
              </c:extLst>
            </c:dLbl>
            <c:dLbl>
              <c:idx val="4"/>
              <c:tx>
                <c:rich>
                  <a:bodyPr/>
                  <a:lstStyle/>
                  <a:p>
                    <a:r>
                      <a:rPr lang="en-US" baseline="0"/>
                      <a:t> </a:t>
                    </a:r>
                    <a:fld id="{E0180E86-B3F5-4128-B652-6851BFC0F29D}" type="VALUE">
                      <a:rPr lang="en-US" baseline="0"/>
                      <a:pPr/>
                      <a:t>[VALUE]</a:t>
                    </a:fld>
                    <a:endParaRPr lang="en-US" baseline="0"/>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0B5-432E-A142-A4909B047782}"/>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TEAM!$M$3:$M$8</c:f>
              <c:strCache>
                <c:ptCount val="5"/>
                <c:pt idx="0">
                  <c:v>Hurricanes</c:v>
                </c:pt>
                <c:pt idx="1">
                  <c:v>Scorchers</c:v>
                </c:pt>
                <c:pt idx="2">
                  <c:v>Stars</c:v>
                </c:pt>
                <c:pt idx="3">
                  <c:v>Renegades</c:v>
                </c:pt>
                <c:pt idx="4">
                  <c:v>Strikers</c:v>
                </c:pt>
              </c:strCache>
            </c:strRef>
          </c:cat>
          <c:val>
            <c:numRef>
              <c:f>TEAM!$N$3:$N$8</c:f>
              <c:numCache>
                <c:formatCode>0;[Red]0</c:formatCode>
                <c:ptCount val="5"/>
                <c:pt idx="0">
                  <c:v>135.81571428571431</c:v>
                </c:pt>
                <c:pt idx="1">
                  <c:v>136.85600000000002</c:v>
                </c:pt>
                <c:pt idx="2">
                  <c:v>141.03500000000003</c:v>
                </c:pt>
                <c:pt idx="3">
                  <c:v>142.04</c:v>
                </c:pt>
                <c:pt idx="4">
                  <c:v>145.59200000000001</c:v>
                </c:pt>
              </c:numCache>
            </c:numRef>
          </c:val>
          <c:extLst>
            <c:ext xmlns:c16="http://schemas.microsoft.com/office/drawing/2014/chart" uri="{C3380CC4-5D6E-409C-BE32-E72D297353CC}">
              <c16:uniqueId val="{00000000-54F0-4EA8-ABA2-888BE4A6D2A1}"/>
            </c:ext>
          </c:extLst>
        </c:ser>
        <c:dLbls>
          <c:showLegendKey val="0"/>
          <c:showVal val="0"/>
          <c:showCatName val="0"/>
          <c:showSerName val="0"/>
          <c:showPercent val="0"/>
          <c:showBubbleSize val="0"/>
        </c:dLbls>
        <c:gapWidth val="100"/>
        <c:axId val="1798190496"/>
        <c:axId val="1798192416"/>
      </c:barChart>
      <c:catAx>
        <c:axId val="179819049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98192416"/>
        <c:crosses val="autoZero"/>
        <c:auto val="1"/>
        <c:lblAlgn val="ctr"/>
        <c:lblOffset val="100"/>
        <c:noMultiLvlLbl val="0"/>
      </c:catAx>
      <c:valAx>
        <c:axId val="1798192416"/>
        <c:scaling>
          <c:orientation val="minMax"/>
        </c:scaling>
        <c:delete val="0"/>
        <c:axPos val="l"/>
        <c:majorGridlines>
          <c:spPr>
            <a:ln w="9525" cap="flat" cmpd="sng" algn="ctr">
              <a:solidFill>
                <a:schemeClr val="lt1">
                  <a:lumMod val="95000"/>
                  <a:alpha val="10000"/>
                </a:schemeClr>
              </a:solidFill>
              <a:round/>
            </a:ln>
            <a:effectLst/>
          </c:spPr>
        </c:majorGridlines>
        <c:numFmt formatCode="0;[Red]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9819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500">
          <a:srgbClr val="FFFFFF"/>
        </a:gs>
        <a:gs pos="0">
          <a:schemeClr val="accent6">
            <a:lumMod val="0"/>
            <a:lumOff val="100000"/>
          </a:schemeClr>
        </a:gs>
        <a:gs pos="1000">
          <a:schemeClr val="accent6">
            <a:lumMod val="0"/>
            <a:lumOff val="100000"/>
          </a:schemeClr>
        </a:gs>
        <a:gs pos="100000">
          <a:schemeClr val="accent6">
            <a:lumMod val="100000"/>
          </a:schemeClr>
        </a:gs>
      </a:gsLst>
      <a:path path="circle">
        <a:fillToRect l="50000" t="-80000" r="50000" b="18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[BBL_2019-2020_Batting final.xlsx]TEAM!PivotTable5</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Player Contributions Across Teams</a:t>
            </a:r>
          </a:p>
        </c:rich>
      </c:tx>
      <c:layout>
        <c:manualLayout>
          <c:xMode val="edge"/>
          <c:yMode val="edge"/>
          <c:x val="0.20880555555555555"/>
          <c:y val="5.91644794400699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c:spPr>
      </c:pivotFmt>
      <c:pivotFmt>
        <c:idx val="2"/>
        <c:spPr>
          <a:solidFill>
            <a:schemeClr val="accent2"/>
          </a:solidFill>
          <a:ln>
            <a:noFill/>
          </a:ln>
          <a:effectLst>
            <a:outerShdw blurRad="57150" dist="19050" dir="5400000" algn="ctr" rotWithShape="0">
              <a:srgbClr val="000000">
                <a:alpha val="63000"/>
              </a:srgbClr>
            </a:outerShdw>
          </a:effectLst>
        </c:spPr>
      </c:pivotFmt>
      <c:pivotFmt>
        <c:idx val="3"/>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4"/>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5"/>
        <c:spPr>
          <a:solidFill>
            <a:schemeClr val="accent6">
              <a:lumMod val="75000"/>
            </a:schemeClr>
          </a:solidFill>
          <a:ln>
            <a:noFill/>
          </a:ln>
          <a:effectLst>
            <a:outerShdw blurRad="57150" dist="19050" dir="5400000" algn="ctr" rotWithShape="0">
              <a:srgbClr val="000000">
                <a:alpha val="63000"/>
              </a:srgbClr>
            </a:outerShdw>
          </a:effectLst>
        </c:spPr>
      </c:pivotFmt>
      <c:pivotFmt>
        <c:idx val="6"/>
        <c:spPr>
          <a:solidFill>
            <a:schemeClr val="accent6">
              <a:lumMod val="75000"/>
            </a:schemeClr>
          </a:solidFill>
          <a:ln>
            <a:noFill/>
          </a:ln>
          <a:effectLst>
            <a:outerShdw blurRad="57150" dist="19050" dir="5400000" algn="ctr" rotWithShape="0">
              <a:srgbClr val="000000">
                <a:alpha val="63000"/>
              </a:srgbClr>
            </a:outerShdw>
          </a:effectLst>
        </c:spPr>
      </c:pivotFmt>
      <c:pivotFmt>
        <c:idx val="7"/>
        <c:spPr>
          <a:solidFill>
            <a:schemeClr val="bg2">
              <a:lumMod val="50000"/>
            </a:schemeClr>
          </a:solidFill>
          <a:ln>
            <a:noFill/>
          </a:ln>
          <a:effectLst>
            <a:outerShdw blurRad="57150" dist="19050" dir="5400000" algn="ctr" rotWithShape="0">
              <a:srgbClr val="000000">
                <a:alpha val="63000"/>
              </a:srgbClr>
            </a:outerShdw>
          </a:effectLst>
        </c:spPr>
      </c:pivotFmt>
      <c:pivotFmt>
        <c:idx val="8"/>
        <c:spPr>
          <a:solidFill>
            <a:schemeClr val="bg2">
              <a:lumMod val="50000"/>
            </a:schemeClr>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758576115485564"/>
          <c:y val="0.21902559055118109"/>
          <c:w val="0.34673884514435693"/>
          <c:h val="0.67820465150189557"/>
        </c:manualLayout>
      </c:layout>
      <c:barChart>
        <c:barDir val="bar"/>
        <c:grouping val="clustered"/>
        <c:varyColors val="0"/>
        <c:ser>
          <c:idx val="0"/>
          <c:order val="0"/>
          <c:tx>
            <c:strRef>
              <c:f>TEAM!$J$2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bg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4A50-4DA5-994C-AE2ACEBBA5C5}"/>
              </c:ext>
            </c:extLst>
          </c:dPt>
          <c:dPt>
            <c:idx val="1"/>
            <c:invertIfNegative val="0"/>
            <c:bubble3D val="0"/>
            <c:spPr>
              <a:solidFill>
                <a:schemeClr val="bg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A50-4DA5-994C-AE2ACEBBA5C5}"/>
              </c:ext>
            </c:extLst>
          </c:dPt>
          <c:dPt>
            <c:idx val="2"/>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4A50-4DA5-994C-AE2ACEBBA5C5}"/>
              </c:ext>
            </c:extLst>
          </c:dPt>
          <c:dPt>
            <c:idx val="3"/>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A50-4DA5-994C-AE2ACEBBA5C5}"/>
              </c:ext>
            </c:extLst>
          </c:dPt>
          <c:dPt>
            <c:idx val="4"/>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4A50-4DA5-994C-AE2ACEBBA5C5}"/>
              </c:ext>
            </c:extLst>
          </c:dPt>
          <c:dPt>
            <c:idx val="5"/>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A50-4DA5-994C-AE2ACEBBA5C5}"/>
              </c:ext>
            </c:extLst>
          </c:dPt>
          <c:dPt>
            <c:idx val="6"/>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4A50-4DA5-994C-AE2ACEBBA5C5}"/>
              </c:ext>
            </c:extLst>
          </c:dPt>
          <c:dPt>
            <c:idx val="7"/>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A50-4DA5-994C-AE2ACEBBA5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ln>
              <a:effectLst/>
            </c:spPr>
            <c:trendlineType val="linear"/>
            <c:dispRSqr val="0"/>
            <c:dispEq val="0"/>
          </c:trendline>
          <c:cat>
            <c:multiLvlStrRef>
              <c:f>TEAM!$I$3:$I$18</c:f>
              <c:multiLvlStrCache>
                <c:ptCount val="10"/>
                <c:lvl>
                  <c:pt idx="0">
                    <c:v>DJM Short</c:v>
                  </c:pt>
                  <c:pt idx="1">
                    <c:v>LS Livingstone</c:v>
                  </c:pt>
                  <c:pt idx="2">
                    <c:v>NCR Larkin</c:v>
                  </c:pt>
                  <c:pt idx="3">
                    <c:v>JR Philippe</c:v>
                  </c:pt>
                  <c:pt idx="4">
                    <c:v>J Weatherald</c:v>
                  </c:pt>
                  <c:pt idx="5">
                    <c:v>SE Marsh</c:v>
                  </c:pt>
                  <c:pt idx="6">
                    <c:v>JW Wells</c:v>
                  </c:pt>
                  <c:pt idx="7">
                    <c:v>AD Hales</c:v>
                  </c:pt>
                  <c:pt idx="8">
                    <c:v>AT Carey</c:v>
                  </c:pt>
                  <c:pt idx="9">
                    <c:v>MP Stoinis</c:v>
                  </c:pt>
                </c:lvl>
                <c:lvl>
                  <c:pt idx="0">
                    <c:v>Scorchers</c:v>
                  </c:pt>
                  <c:pt idx="2">
                    <c:v>Renegades</c:v>
                  </c:pt>
                  <c:pt idx="4">
                    <c:v>Heat</c:v>
                  </c:pt>
                  <c:pt idx="6">
                    <c:v>Hurricanes</c:v>
                  </c:pt>
                  <c:pt idx="8">
                    <c:v>Stars</c:v>
                  </c:pt>
                </c:lvl>
              </c:multiLvlStrCache>
            </c:multiLvlStrRef>
          </c:cat>
          <c:val>
            <c:numRef>
              <c:f>TEAM!$J$3:$J$18</c:f>
              <c:numCache>
                <c:formatCode>General</c:formatCode>
                <c:ptCount val="10"/>
                <c:pt idx="0">
                  <c:v>357</c:v>
                </c:pt>
                <c:pt idx="1">
                  <c:v>425</c:v>
                </c:pt>
                <c:pt idx="2">
                  <c:v>297</c:v>
                </c:pt>
                <c:pt idx="3">
                  <c:v>487</c:v>
                </c:pt>
                <c:pt idx="4">
                  <c:v>407</c:v>
                </c:pt>
                <c:pt idx="5">
                  <c:v>449</c:v>
                </c:pt>
                <c:pt idx="6">
                  <c:v>478</c:v>
                </c:pt>
                <c:pt idx="7">
                  <c:v>576</c:v>
                </c:pt>
                <c:pt idx="8">
                  <c:v>391</c:v>
                </c:pt>
                <c:pt idx="9">
                  <c:v>705</c:v>
                </c:pt>
              </c:numCache>
            </c:numRef>
          </c:val>
          <c:extLst>
            <c:ext xmlns:c16="http://schemas.microsoft.com/office/drawing/2014/chart" uri="{C3380CC4-5D6E-409C-BE32-E72D297353CC}">
              <c16:uniqueId val="{00000000-7CD2-45E3-A301-4A161EA2A765}"/>
            </c:ext>
          </c:extLst>
        </c:ser>
        <c:dLbls>
          <c:dLblPos val="outEnd"/>
          <c:showLegendKey val="0"/>
          <c:showVal val="1"/>
          <c:showCatName val="0"/>
          <c:showSerName val="0"/>
          <c:showPercent val="0"/>
          <c:showBubbleSize val="0"/>
        </c:dLbls>
        <c:gapWidth val="115"/>
        <c:overlap val="-20"/>
        <c:axId val="1057102192"/>
        <c:axId val="1057103152"/>
      </c:barChart>
      <c:catAx>
        <c:axId val="10571021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103152"/>
        <c:crosses val="autoZero"/>
        <c:auto val="1"/>
        <c:lblAlgn val="ctr"/>
        <c:lblOffset val="100"/>
        <c:noMultiLvlLbl val="0"/>
      </c:catAx>
      <c:valAx>
        <c:axId val="1057103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10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[BBL_2019-2020_Batting final.xlsx]Team !PivotTable7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Team-wise Distribution of Half-Centuries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cene3d>
            <a:camera prst="orthographicFront"/>
            <a:lightRig rig="harsh" dir="t">
              <a:rot lat="0" lon="0" rev="3000000"/>
            </a:lightRig>
          </a:scene3d>
          <a:sp3d>
            <a:bevelT w="82550" h="44450" prst="angle"/>
            <a:bevelB w="82550" h="44450" prst="angle"/>
            <a:contourClr>
              <a:srgbClr val="000000"/>
            </a:contourClr>
          </a:sp3d>
        </c:spPr>
      </c:pivotFmt>
      <c:pivotFmt>
        <c:idx val="2"/>
        <c:spPr>
          <a:solidFill>
            <a:schemeClr val="accent1"/>
          </a:solidFill>
          <a:ln w="19050">
            <a:solidFill>
              <a:schemeClr val="lt1"/>
            </a:solidFill>
          </a:ln>
          <a:effectLst/>
          <a:scene3d>
            <a:camera prst="orthographicFront"/>
            <a:lightRig rig="threePt" dir="t"/>
          </a:scene3d>
          <a:sp3d>
            <a:bevelT w="190500" h="38100"/>
          </a:sp3d>
        </c:spPr>
      </c:pivotFmt>
      <c:pivotFmt>
        <c:idx val="3"/>
        <c:spPr>
          <a:solidFill>
            <a:schemeClr val="accent1"/>
          </a:solidFill>
          <a:ln w="19050">
            <a:solidFill>
              <a:schemeClr val="lt1"/>
            </a:solidFill>
          </a:ln>
          <a:effectLst/>
          <a:scene3d>
            <a:camera prst="orthographicFront"/>
            <a:lightRig rig="threePt" dir="t"/>
          </a:scene3d>
          <a:sp3d>
            <a:bevelT w="190500" h="38100"/>
          </a:sp3d>
        </c:spPr>
      </c:pivotFmt>
      <c:pivotFmt>
        <c:idx val="4"/>
        <c:spPr>
          <a:solidFill>
            <a:schemeClr val="accent1"/>
          </a:solidFill>
          <a:ln w="19050">
            <a:solidFill>
              <a:schemeClr val="lt1"/>
            </a:solidFill>
          </a:ln>
          <a:effectLst/>
          <a:scene3d>
            <a:camera prst="orthographicFront"/>
            <a:lightRig rig="threePt" dir="t"/>
          </a:scene3d>
          <a:sp3d>
            <a:bevelT w="190500" h="38100"/>
          </a:sp3d>
        </c:spPr>
      </c:pivotFmt>
      <c:pivotFmt>
        <c:idx val="5"/>
        <c:spPr>
          <a:solidFill>
            <a:schemeClr val="accent1"/>
          </a:solidFill>
          <a:ln w="19050">
            <a:solidFill>
              <a:schemeClr val="lt1"/>
            </a:solidFill>
          </a:ln>
          <a:effectLst/>
          <a:scene3d>
            <a:camera prst="orthographicFront"/>
            <a:lightRig rig="threePt" dir="t"/>
          </a:scene3d>
          <a:sp3d>
            <a:bevelT w="190500" h="38100"/>
          </a:sp3d>
        </c:spPr>
      </c:pivotFmt>
      <c:pivotFmt>
        <c:idx val="6"/>
        <c:spPr>
          <a:solidFill>
            <a:schemeClr val="accent1"/>
          </a:solidFill>
          <a:ln w="19050">
            <a:solidFill>
              <a:schemeClr val="lt1"/>
            </a:solidFill>
          </a:ln>
          <a:effectLst/>
          <a:scene3d>
            <a:camera prst="orthographicFront"/>
            <a:lightRig rig="threePt" dir="t"/>
          </a:scene3d>
          <a:sp3d>
            <a:bevelT w="190500" h="38100"/>
          </a:sp3d>
        </c:spPr>
      </c:pivotFmt>
      <c:pivotFmt>
        <c:idx val="7"/>
        <c:spPr>
          <a:solidFill>
            <a:schemeClr val="accent1"/>
          </a:solidFill>
          <a:ln w="19050">
            <a:solidFill>
              <a:schemeClr val="lt1"/>
            </a:solidFill>
          </a:ln>
          <a:effectLst/>
          <a:scene3d>
            <a:camera prst="orthographicFront"/>
            <a:lightRig rig="threePt" dir="t"/>
          </a:scene3d>
          <a:sp3d>
            <a:bevelT w="190500" h="38100"/>
          </a:sp3d>
        </c:spPr>
      </c:pivotFmt>
      <c:pivotFmt>
        <c:idx val="8"/>
        <c:spPr>
          <a:solidFill>
            <a:schemeClr val="accent1"/>
          </a:solidFill>
          <a:ln w="19050">
            <a:solidFill>
              <a:schemeClr val="lt1"/>
            </a:solidFill>
          </a:ln>
          <a:effectLst/>
          <a:scene3d>
            <a:camera prst="orthographicFront"/>
            <a:lightRig rig="threePt" dir="t"/>
          </a:scene3d>
          <a:sp3d>
            <a:bevelT w="190500" h="38100"/>
          </a:sp3d>
        </c:spPr>
      </c:pivotFmt>
    </c:pivotFmts>
    <c:plotArea>
      <c:layout/>
      <c:pieChart>
        <c:varyColors val="1"/>
        <c:ser>
          <c:idx val="0"/>
          <c:order val="0"/>
          <c:tx>
            <c:strRef>
              <c:f>'Team '!$K$2</c:f>
              <c:strCache>
                <c:ptCount val="1"/>
                <c:pt idx="0">
                  <c:v>Total</c:v>
                </c:pt>
              </c:strCache>
            </c:strRef>
          </c:tx>
          <c:spPr>
            <a:scene3d>
              <a:camera prst="orthographicFront"/>
              <a:lightRig rig="threePt" dir="t"/>
            </a:scene3d>
            <a:sp3d>
              <a:bevelT w="190500" h="38100"/>
            </a:sp3d>
          </c:spPr>
          <c:dPt>
            <c:idx val="0"/>
            <c:bubble3D val="0"/>
            <c:spPr>
              <a:solidFill>
                <a:schemeClr val="accent1"/>
              </a:solidFill>
              <a:ln w="19050">
                <a:solidFill>
                  <a:schemeClr val="lt1"/>
                </a:solidFill>
              </a:ln>
              <a:effectLst/>
              <a:scene3d>
                <a:camera prst="orthographicFront"/>
                <a:lightRig rig="harsh" dir="t">
                  <a:rot lat="0" lon="0" rev="3000000"/>
                </a:lightRig>
              </a:scene3d>
              <a:sp3d>
                <a:bevelT w="82550" h="44450" prst="angle"/>
                <a:bevelB w="82550" h="44450" prst="angle"/>
                <a:contourClr>
                  <a:srgbClr val="000000"/>
                </a:contourClr>
              </a:sp3d>
            </c:spPr>
            <c:extLst>
              <c:ext xmlns:c16="http://schemas.microsoft.com/office/drawing/2014/chart" uri="{C3380CC4-5D6E-409C-BE32-E72D297353CC}">
                <c16:uniqueId val="{00000002-8C11-416A-B568-3D011C6DECD7}"/>
              </c:ext>
            </c:extLst>
          </c:dPt>
          <c:dPt>
            <c:idx val="1"/>
            <c:bubble3D val="0"/>
            <c:spPr>
              <a:solidFill>
                <a:schemeClr val="accent2"/>
              </a:solidFill>
              <a:ln w="19050">
                <a:solidFill>
                  <a:schemeClr val="lt1"/>
                </a:solidFill>
              </a:ln>
              <a:effectLst/>
              <a:scene3d>
                <a:camera prst="orthographicFront"/>
                <a:lightRig rig="threePt" dir="t"/>
              </a:scene3d>
              <a:sp3d>
                <a:bevelT w="190500" h="38100"/>
              </a:sp3d>
            </c:spPr>
            <c:extLst>
              <c:ext xmlns:c16="http://schemas.microsoft.com/office/drawing/2014/chart" uri="{C3380CC4-5D6E-409C-BE32-E72D297353CC}">
                <c16:uniqueId val="{00000003-5EB3-4DB3-BBC0-995A178CA86C}"/>
              </c:ext>
            </c:extLst>
          </c:dPt>
          <c:dPt>
            <c:idx val="2"/>
            <c:bubble3D val="0"/>
            <c:spPr>
              <a:solidFill>
                <a:schemeClr val="accent3"/>
              </a:solidFill>
              <a:ln w="19050">
                <a:solidFill>
                  <a:schemeClr val="lt1"/>
                </a:solidFill>
              </a:ln>
              <a:effectLst/>
              <a:scene3d>
                <a:camera prst="orthographicFront"/>
                <a:lightRig rig="threePt" dir="t"/>
              </a:scene3d>
              <a:sp3d>
                <a:bevelT w="190500" h="38100"/>
              </a:sp3d>
            </c:spPr>
            <c:extLst>
              <c:ext xmlns:c16="http://schemas.microsoft.com/office/drawing/2014/chart" uri="{C3380CC4-5D6E-409C-BE32-E72D297353CC}">
                <c16:uniqueId val="{00000005-5EB3-4DB3-BBC0-995A178CA86C}"/>
              </c:ext>
            </c:extLst>
          </c:dPt>
          <c:dPt>
            <c:idx val="3"/>
            <c:bubble3D val="0"/>
            <c:spPr>
              <a:solidFill>
                <a:schemeClr val="accent4"/>
              </a:solidFill>
              <a:ln w="19050">
                <a:solidFill>
                  <a:schemeClr val="lt1"/>
                </a:solidFill>
              </a:ln>
              <a:effectLst/>
              <a:scene3d>
                <a:camera prst="orthographicFront"/>
                <a:lightRig rig="threePt" dir="t"/>
              </a:scene3d>
              <a:sp3d>
                <a:bevelT w="190500" h="38100"/>
              </a:sp3d>
            </c:spPr>
            <c:extLst>
              <c:ext xmlns:c16="http://schemas.microsoft.com/office/drawing/2014/chart" uri="{C3380CC4-5D6E-409C-BE32-E72D297353CC}">
                <c16:uniqueId val="{00000007-5EB3-4DB3-BBC0-995A178CA86C}"/>
              </c:ext>
            </c:extLst>
          </c:dPt>
          <c:dPt>
            <c:idx val="4"/>
            <c:bubble3D val="0"/>
            <c:spPr>
              <a:solidFill>
                <a:schemeClr val="accent5"/>
              </a:solidFill>
              <a:ln w="19050">
                <a:solidFill>
                  <a:schemeClr val="lt1"/>
                </a:solidFill>
              </a:ln>
              <a:effectLst/>
              <a:scene3d>
                <a:camera prst="orthographicFront"/>
                <a:lightRig rig="threePt" dir="t"/>
              </a:scene3d>
              <a:sp3d>
                <a:bevelT w="190500" h="38100"/>
              </a:sp3d>
            </c:spPr>
            <c:extLst>
              <c:ext xmlns:c16="http://schemas.microsoft.com/office/drawing/2014/chart" uri="{C3380CC4-5D6E-409C-BE32-E72D297353CC}">
                <c16:uniqueId val="{00000009-5EB3-4DB3-BBC0-995A178CA86C}"/>
              </c:ext>
            </c:extLst>
          </c:dPt>
          <c:dPt>
            <c:idx val="5"/>
            <c:bubble3D val="0"/>
            <c:spPr>
              <a:solidFill>
                <a:schemeClr val="accent6"/>
              </a:solidFill>
              <a:ln w="19050">
                <a:solidFill>
                  <a:schemeClr val="lt1"/>
                </a:solidFill>
              </a:ln>
              <a:effectLst/>
              <a:scene3d>
                <a:camera prst="orthographicFront"/>
                <a:lightRig rig="threePt" dir="t"/>
              </a:scene3d>
              <a:sp3d>
                <a:bevelT w="190500" h="38100"/>
              </a:sp3d>
            </c:spPr>
            <c:extLst>
              <c:ext xmlns:c16="http://schemas.microsoft.com/office/drawing/2014/chart" uri="{C3380CC4-5D6E-409C-BE32-E72D297353CC}">
                <c16:uniqueId val="{0000000B-5EB3-4DB3-BBC0-995A178CA86C}"/>
              </c:ext>
            </c:extLst>
          </c:dPt>
          <c:dPt>
            <c:idx val="6"/>
            <c:bubble3D val="0"/>
            <c:spPr>
              <a:solidFill>
                <a:schemeClr val="accent1">
                  <a:lumMod val="60000"/>
                </a:schemeClr>
              </a:solidFill>
              <a:ln w="19050">
                <a:solidFill>
                  <a:schemeClr val="lt1"/>
                </a:solidFill>
              </a:ln>
              <a:effectLst/>
              <a:scene3d>
                <a:camera prst="orthographicFront"/>
                <a:lightRig rig="threePt" dir="t"/>
              </a:scene3d>
              <a:sp3d>
                <a:bevelT w="190500" h="38100"/>
              </a:sp3d>
            </c:spPr>
            <c:extLst>
              <c:ext xmlns:c16="http://schemas.microsoft.com/office/drawing/2014/chart" uri="{C3380CC4-5D6E-409C-BE32-E72D297353CC}">
                <c16:uniqueId val="{0000000D-5EB3-4DB3-BBC0-995A178CA86C}"/>
              </c:ext>
            </c:extLst>
          </c:dPt>
          <c:dPt>
            <c:idx val="7"/>
            <c:bubble3D val="0"/>
            <c:spPr>
              <a:solidFill>
                <a:schemeClr val="accent2">
                  <a:lumMod val="60000"/>
                </a:schemeClr>
              </a:solidFill>
              <a:ln w="19050">
                <a:solidFill>
                  <a:schemeClr val="lt1"/>
                </a:solidFill>
              </a:ln>
              <a:effectLst/>
              <a:scene3d>
                <a:camera prst="orthographicFront"/>
                <a:lightRig rig="threePt" dir="t"/>
              </a:scene3d>
              <a:sp3d>
                <a:bevelT w="190500" h="38100"/>
              </a:sp3d>
            </c:spPr>
            <c:extLst>
              <c:ext xmlns:c16="http://schemas.microsoft.com/office/drawing/2014/chart" uri="{C3380CC4-5D6E-409C-BE32-E72D297353CC}">
                <c16:uniqueId val="{0000000F-5EB3-4DB3-BBC0-995A178CA8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'Team '!$J$3:$J$9</c:f>
              <c:strCache>
                <c:ptCount val="6"/>
                <c:pt idx="0">
                  <c:v>Stars</c:v>
                </c:pt>
                <c:pt idx="1">
                  <c:v>Hurricanes</c:v>
                </c:pt>
                <c:pt idx="2">
                  <c:v>Scorchers</c:v>
                </c:pt>
                <c:pt idx="3">
                  <c:v>Renegades</c:v>
                </c:pt>
                <c:pt idx="4">
                  <c:v>Thunder</c:v>
                </c:pt>
                <c:pt idx="5">
                  <c:v>Strikers</c:v>
                </c:pt>
              </c:strCache>
            </c:strRef>
          </c:cat>
          <c:val>
            <c:numRef>
              <c:f>'Team '!$K$3:$K$9</c:f>
              <c:numCache>
                <c:formatCode>General</c:formatCode>
                <c:ptCount val="6"/>
                <c:pt idx="0">
                  <c:v>24</c:v>
                </c:pt>
                <c:pt idx="1">
                  <c:v>16</c:v>
                </c:pt>
                <c:pt idx="2">
                  <c:v>14</c:v>
                </c:pt>
                <c:pt idx="3">
                  <c:v>9</c:v>
                </c:pt>
                <c:pt idx="4">
                  <c:v>8</c:v>
                </c:pt>
                <c:pt idx="5">
                  <c:v>8</c:v>
                </c:pt>
              </c:numCache>
            </c:numRef>
          </c:val>
          <c:extLst>
            <c:ext xmlns:c16="http://schemas.microsoft.com/office/drawing/2014/chart" uri="{C3380CC4-5D6E-409C-BE32-E72D297353CC}">
              <c16:uniqueId val="{00000000-8C11-416A-B568-3D011C6DECD7}"/>
            </c:ext>
          </c:extLst>
        </c:ser>
        <c:dLbls>
          <c:showLegendKey val="0"/>
          <c:showVal val="0"/>
          <c:showCatName val="0"/>
          <c:showSerName val="0"/>
          <c:showPercent val="0"/>
          <c:showBubbleSize val="0"/>
          <c:showLeaderLines val="1"/>
        </c:dLbls>
        <c:firstSliceAng val="325"/>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Highest Runs scored by player against opposition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4">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3F7F-4A54-8255-9EE4F7B313AE}"/>
              </c:ext>
            </c:extLst>
          </c:dPt>
          <c:dPt>
            <c:idx val="2"/>
            <c:invertIfNegative val="0"/>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F7F-4A54-8255-9EE4F7B313AE}"/>
              </c:ext>
            </c:extLst>
          </c:dPt>
          <c:dPt>
            <c:idx val="3"/>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F7F-4A54-8255-9EE4F7B313AE}"/>
              </c:ext>
            </c:extLst>
          </c:dPt>
          <c:dPt>
            <c:idx val="4"/>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3F7F-4A54-8255-9EE4F7B313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ln>
              <a:effectLst/>
            </c:spPr>
            <c:trendlineType val="linear"/>
            <c:dispRSqr val="0"/>
            <c:dispEq val="0"/>
          </c:trendline>
          <c:cat>
            <c:strLit>
              <c:ptCount val="5"/>
              <c:pt idx="0">
                <c:v>Sixers</c:v>
              </c:pt>
              <c:pt idx="1">
                <c:v>Thunder</c:v>
              </c:pt>
              <c:pt idx="2">
                <c:v>Hurricanes</c:v>
              </c:pt>
              <c:pt idx="3">
                <c:v>Strikers</c:v>
              </c:pt>
              <c:pt idx="4">
                <c:v>Heat</c:v>
              </c:pt>
            </c:strLit>
          </c:cat>
          <c:val>
            <c:numLit>
              <c:formatCode>General</c:formatCode>
              <c:ptCount val="5"/>
              <c:pt idx="0">
                <c:v>147</c:v>
              </c:pt>
              <c:pt idx="1">
                <c:v>130</c:v>
              </c:pt>
              <c:pt idx="2">
                <c:v>109</c:v>
              </c:pt>
              <c:pt idx="3">
                <c:v>103</c:v>
              </c:pt>
              <c:pt idx="4">
                <c:v>94</c:v>
              </c:pt>
            </c:numLit>
          </c:val>
          <c:extLst>
            <c:ext xmlns:c16="http://schemas.microsoft.com/office/drawing/2014/chart" uri="{C3380CC4-5D6E-409C-BE32-E72D297353CC}">
              <c16:uniqueId val="{00000000-E1E2-4CEF-90E6-C2473E046BB6}"/>
            </c:ext>
          </c:extLst>
        </c:ser>
        <c:dLbls>
          <c:dLblPos val="outEnd"/>
          <c:showLegendKey val="0"/>
          <c:showVal val="1"/>
          <c:showCatName val="0"/>
          <c:showSerName val="0"/>
          <c:showPercent val="0"/>
          <c:showBubbleSize val="0"/>
        </c:dLbls>
        <c:gapWidth val="100"/>
        <c:overlap val="-24"/>
        <c:axId val="531240655"/>
        <c:axId val="531245455"/>
      </c:barChart>
      <c:catAx>
        <c:axId val="53124065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Players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245455"/>
        <c:crosses val="autoZero"/>
        <c:auto val="1"/>
        <c:lblAlgn val="ctr"/>
        <c:lblOffset val="100"/>
        <c:noMultiLvlLbl val="0"/>
      </c:catAx>
      <c:valAx>
        <c:axId val="531245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Highest Score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240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Maximum Centuries(100s)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FF0000"/>
            </a:solidFill>
            <a:ln>
              <a:noFill/>
            </a:ln>
            <a:effectLst>
              <a:outerShdw blurRad="57150" dist="19050" dir="5400000" algn="ctr" rotWithShape="0">
                <a:srgbClr val="000000">
                  <a:alpha val="63000"/>
                </a:srgbClr>
              </a:outerShdw>
            </a:effectLst>
          </c:spPr>
          <c:invertIfNegative val="0"/>
          <c:dPt>
            <c:idx val="1"/>
            <c:invertIfNegative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44A0-4F2B-AD10-0BE37D1557AF}"/>
              </c:ext>
            </c:extLst>
          </c:dPt>
          <c:dPt>
            <c:idx val="2"/>
            <c:invertIfNegative val="0"/>
            <c:bubble3D val="0"/>
            <c:spPr>
              <a:solidFill>
                <a:schemeClr val="accent4">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4A0-4F2B-AD10-0BE37D1557AF}"/>
              </c:ext>
            </c:extLst>
          </c:dPt>
          <c:dPt>
            <c:idx val="3"/>
            <c:invertIfNegative val="0"/>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44A0-4F2B-AD10-0BE37D1557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ln>
              <a:effectLst/>
            </c:spPr>
            <c:trendlineType val="linear"/>
            <c:dispRSqr val="0"/>
            <c:dispEq val="0"/>
          </c:trendline>
          <c:cat>
            <c:strLit>
              <c:ptCount val="4"/>
              <c:pt idx="0">
                <c:v>MS Wade</c:v>
              </c:pt>
              <c:pt idx="1">
                <c:v>MP Stoinis</c:v>
              </c:pt>
              <c:pt idx="2">
                <c:v>AJ Finch</c:v>
              </c:pt>
              <c:pt idx="3">
                <c:v>DJM Short</c:v>
              </c:pt>
            </c:strLit>
          </c:cat>
          <c:val>
            <c:numLit>
              <c:formatCode>General</c:formatCode>
              <c:ptCount val="4"/>
              <c:pt idx="0">
                <c:v>1</c:v>
              </c:pt>
              <c:pt idx="1">
                <c:v>1</c:v>
              </c:pt>
              <c:pt idx="2">
                <c:v>1</c:v>
              </c:pt>
              <c:pt idx="3">
                <c:v>1</c:v>
              </c:pt>
            </c:numLit>
          </c:val>
          <c:extLst>
            <c:ext xmlns:c16="http://schemas.microsoft.com/office/drawing/2014/chart" uri="{C3380CC4-5D6E-409C-BE32-E72D297353CC}">
              <c16:uniqueId val="{00000000-4E0E-4094-819E-2AEF9ECB7DDB}"/>
            </c:ext>
          </c:extLst>
        </c:ser>
        <c:dLbls>
          <c:dLblPos val="outEnd"/>
          <c:showLegendKey val="0"/>
          <c:showVal val="1"/>
          <c:showCatName val="0"/>
          <c:showSerName val="0"/>
          <c:showPercent val="0"/>
          <c:showBubbleSize val="0"/>
        </c:dLbls>
        <c:gapWidth val="100"/>
        <c:overlap val="-24"/>
        <c:axId val="1152033584"/>
        <c:axId val="1152035024"/>
      </c:barChart>
      <c:catAx>
        <c:axId val="115203358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Players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035024"/>
        <c:crosses val="autoZero"/>
        <c:auto val="1"/>
        <c:lblAlgn val="ctr"/>
        <c:lblOffset val="100"/>
        <c:noMultiLvlLbl val="0"/>
      </c:catAx>
      <c:valAx>
        <c:axId val="1152035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Centuries</a:t>
                </a:r>
              </a:p>
            </c:rich>
          </c:tx>
          <c:layout>
            <c:manualLayout>
              <c:xMode val="edge"/>
              <c:yMode val="edge"/>
              <c:x val="2.2222222222222223E-2"/>
              <c:y val="0.4294586614173228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033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Boundry hitting contribution by players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Sum of Total Runs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solidFill>
                <a:schemeClr val="accent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E51-41A0-A76C-32705CE780FC}"/>
              </c:ext>
            </c:extLst>
          </c:dPt>
          <c:dPt>
            <c:idx val="2"/>
            <c:invertIfNegative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2E51-41A0-A76C-32705CE780FC}"/>
              </c:ext>
            </c:extLst>
          </c:dPt>
          <c:dPt>
            <c:idx val="3"/>
            <c:invertIfNegative val="0"/>
            <c:bubble3D val="0"/>
            <c:spPr>
              <a:solidFill>
                <a:schemeClr val="accent3">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E51-41A0-A76C-32705CE780FC}"/>
              </c:ext>
            </c:extLst>
          </c:dPt>
          <c:dPt>
            <c:idx val="4"/>
            <c:invertIfNegative val="0"/>
            <c:bubble3D val="0"/>
            <c:spPr>
              <a:solidFill>
                <a:schemeClr val="accent4">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2E51-41A0-A76C-32705CE780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T Banton</c:v>
              </c:pt>
              <c:pt idx="1">
                <c:v>M Bryant</c:v>
              </c:pt>
              <c:pt idx="2">
                <c:v>CA Lynn</c:v>
              </c:pt>
              <c:pt idx="3">
                <c:v>Rashid Khan</c:v>
              </c:pt>
              <c:pt idx="4">
                <c:v>PD Salt</c:v>
              </c:pt>
            </c:strLit>
          </c:cat>
          <c:val>
            <c:numLit>
              <c:formatCode>General</c:formatCode>
              <c:ptCount val="5"/>
              <c:pt idx="0">
                <c:v>223</c:v>
              </c:pt>
              <c:pt idx="1">
                <c:v>145</c:v>
              </c:pt>
              <c:pt idx="2">
                <c:v>387</c:v>
              </c:pt>
              <c:pt idx="3">
                <c:v>124</c:v>
              </c:pt>
              <c:pt idx="4">
                <c:v>361</c:v>
              </c:pt>
            </c:numLit>
          </c:val>
          <c:extLst>
            <c:ext xmlns:c16="http://schemas.microsoft.com/office/drawing/2014/chart" uri="{C3380CC4-5D6E-409C-BE32-E72D297353CC}">
              <c16:uniqueId val="{00000000-2E51-41A0-A76C-32705CE780FC}"/>
            </c:ext>
          </c:extLst>
        </c:ser>
        <c:ser>
          <c:idx val="1"/>
          <c:order val="1"/>
          <c:tx>
            <c:v>Average of Boundries%</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T Banton</c:v>
              </c:pt>
              <c:pt idx="1">
                <c:v>M Bryant</c:v>
              </c:pt>
              <c:pt idx="2">
                <c:v>CA Lynn</c:v>
              </c:pt>
              <c:pt idx="3">
                <c:v>Rashid Khan</c:v>
              </c:pt>
              <c:pt idx="4">
                <c:v>PD Salt</c:v>
              </c:pt>
            </c:strLit>
          </c:cat>
          <c:val>
            <c:numLit>
              <c:formatCode>General</c:formatCode>
              <c:ptCount val="5"/>
              <c:pt idx="0">
                <c:v>75.33</c:v>
              </c:pt>
              <c:pt idx="1">
                <c:v>73.099999999999994</c:v>
              </c:pt>
              <c:pt idx="2">
                <c:v>72.86</c:v>
              </c:pt>
              <c:pt idx="3">
                <c:v>70.959999999999994</c:v>
              </c:pt>
              <c:pt idx="4">
                <c:v>69.8</c:v>
              </c:pt>
            </c:numLit>
          </c:val>
          <c:extLst>
            <c:ext xmlns:c16="http://schemas.microsoft.com/office/drawing/2014/chart" uri="{C3380CC4-5D6E-409C-BE32-E72D297353CC}">
              <c16:uniqueId val="{00000001-2E51-41A0-A76C-32705CE780FC}"/>
            </c:ext>
          </c:extLst>
        </c:ser>
        <c:dLbls>
          <c:dLblPos val="ctr"/>
          <c:showLegendKey val="0"/>
          <c:showVal val="1"/>
          <c:showCatName val="0"/>
          <c:showSerName val="0"/>
          <c:showPercent val="0"/>
          <c:showBubbleSize val="0"/>
        </c:dLbls>
        <c:gapWidth val="150"/>
        <c:overlap val="100"/>
        <c:axId val="1668650943"/>
        <c:axId val="1668635103"/>
      </c:barChart>
      <c:catAx>
        <c:axId val="166865094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Players </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635103"/>
        <c:crosses val="autoZero"/>
        <c:auto val="1"/>
        <c:lblAlgn val="ctr"/>
        <c:lblOffset val="100"/>
        <c:noMultiLvlLbl val="0"/>
      </c:catAx>
      <c:valAx>
        <c:axId val="1668635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Total runs and boundy percentage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650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Highest Partnership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bg2">
                  <a:lumMod val="9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90B-4791-8B8F-F0153641A249}"/>
              </c:ext>
            </c:extLst>
          </c:dPt>
          <c:dPt>
            <c:idx val="1"/>
            <c:invertIfNegative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E0F-4CB8-B4B8-CD7E57859FA3}"/>
              </c:ext>
            </c:extLst>
          </c:dPt>
          <c:dPt>
            <c:idx val="2"/>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E0F-4CB8-B4B8-CD7E57859FA3}"/>
              </c:ext>
            </c:extLst>
          </c:dPt>
          <c:dPt>
            <c:idx val="3"/>
            <c:invertIfNegative val="0"/>
            <c:bubble3D val="0"/>
            <c:spPr>
              <a:solidFill>
                <a:schemeClr val="accent6">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3E0F-4CB8-B4B8-CD7E57859FA3}"/>
              </c:ext>
            </c:extLst>
          </c:dPt>
          <c:dPt>
            <c:idx val="4"/>
            <c:invertIfNegative val="0"/>
            <c:bubble3D val="0"/>
            <c:extLst>
              <c:ext xmlns:c16="http://schemas.microsoft.com/office/drawing/2014/chart" uri="{C3380CC4-5D6E-409C-BE32-E72D297353CC}">
                <c16:uniqueId val="{00000005-3E0F-4CB8-B4B8-CD7E57859F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MP Stoinis, HWR Cartwright</c:v>
              </c:pt>
              <c:pt idx="1">
                <c:v>MS Wade, DJM Short</c:v>
              </c:pt>
              <c:pt idx="2">
                <c:v>JP Inglis, LS Livingstone</c:v>
              </c:pt>
              <c:pt idx="3">
                <c:v>PD Salt, J Weatherald</c:v>
              </c:pt>
              <c:pt idx="4">
                <c:v>UT Khawaja, AD Hales</c:v>
              </c:pt>
            </c:strLit>
          </c:cat>
          <c:val>
            <c:numLit>
              <c:formatCode>General</c:formatCode>
              <c:ptCount val="5"/>
              <c:pt idx="0">
                <c:v>207</c:v>
              </c:pt>
              <c:pt idx="1">
                <c:v>203</c:v>
              </c:pt>
              <c:pt idx="2">
                <c:v>136</c:v>
              </c:pt>
              <c:pt idx="3">
                <c:v>104</c:v>
              </c:pt>
              <c:pt idx="4">
                <c:v>103</c:v>
              </c:pt>
            </c:numLit>
          </c:val>
          <c:extLst>
            <c:ext xmlns:c16="http://schemas.microsoft.com/office/drawing/2014/chart" uri="{C3380CC4-5D6E-409C-BE32-E72D297353CC}">
              <c16:uniqueId val="{00000000-3E0F-4CB8-B4B8-CD7E57859FA3}"/>
            </c:ext>
          </c:extLst>
        </c:ser>
        <c:dLbls>
          <c:dLblPos val="ctr"/>
          <c:showLegendKey val="0"/>
          <c:showVal val="1"/>
          <c:showCatName val="0"/>
          <c:showSerName val="0"/>
          <c:showPercent val="0"/>
          <c:showBubbleSize val="0"/>
        </c:dLbls>
        <c:gapWidth val="150"/>
        <c:overlap val="100"/>
        <c:axId val="1718067840"/>
        <c:axId val="1718050560"/>
      </c:barChart>
      <c:catAx>
        <c:axId val="171806784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Partnership Between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050560"/>
        <c:crosses val="autoZero"/>
        <c:auto val="1"/>
        <c:lblAlgn val="ctr"/>
        <c:lblOffset val="100"/>
        <c:noMultiLvlLbl val="0"/>
      </c:catAx>
      <c:valAx>
        <c:axId val="1718050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Partnership Runs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067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 Rankings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75D5"/>
          </a:solidFill>
          <a:ln>
            <a:noFill/>
          </a:ln>
          <a:effectLst>
            <a:outerShdw blurRad="57150" dist="19050" dir="5400000" algn="ctr" rotWithShape="0">
              <a:srgbClr val="000000">
                <a:alpha val="63000"/>
              </a:srgbClr>
            </a:outerShdw>
          </a:effectLst>
        </c:spPr>
      </c:pivotFmt>
      <c:pivotFmt>
        <c:idx val="2"/>
        <c:spPr>
          <a:solidFill>
            <a:schemeClr val="accent1">
              <a:lumMod val="20000"/>
              <a:lumOff val="80000"/>
            </a:schemeClr>
          </a:solidFill>
          <a:ln>
            <a:noFill/>
          </a:ln>
          <a:effectLst>
            <a:outerShdw blurRad="57150" dist="19050" dir="5400000" algn="ctr" rotWithShape="0">
              <a:srgbClr val="000000">
                <a:alpha val="63000"/>
              </a:srgbClr>
            </a:outerShdw>
          </a:effectLst>
        </c:spPr>
      </c:pivotFmt>
      <c:pivotFmt>
        <c:idx val="3"/>
        <c:spPr>
          <a:solidFill>
            <a:schemeClr val="accent4">
              <a:lumMod val="40000"/>
              <a:lumOff val="60000"/>
            </a:schemeClr>
          </a:solidFill>
          <a:ln>
            <a:noFill/>
          </a:ln>
          <a:effectLst>
            <a:outerShdw blurRad="57150" dist="19050" dir="5400000" algn="ctr" rotWithShape="0">
              <a:srgbClr val="000000">
                <a:alpha val="63000"/>
              </a:srgbClr>
            </a:outerShdw>
          </a:effectLst>
        </c:spPr>
      </c:pivotFmt>
      <c:pivotFmt>
        <c:idx val="4"/>
        <c:spPr>
          <a:solidFill>
            <a:schemeClr val="bg2">
              <a:lumMod val="75000"/>
            </a:schemeClr>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959-4ABE-B4A9-2579EE1F2C09}"/>
              </c:ext>
            </c:extLst>
          </c:dPt>
          <c:dPt>
            <c:idx val="1"/>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959-4ABE-B4A9-2579EE1F2C09}"/>
              </c:ext>
            </c:extLst>
          </c:dPt>
          <c:dPt>
            <c:idx val="2"/>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959-4ABE-B4A9-2579EE1F2C09}"/>
              </c:ext>
            </c:extLst>
          </c:dPt>
          <c:dPt>
            <c:idx val="3"/>
            <c:invertIfNegative val="0"/>
            <c:bubble3D val="0"/>
            <c:spPr>
              <a:solidFill>
                <a:schemeClr val="accent4">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959-4ABE-B4A9-2579EE1F2C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ln>
              <a:effectLst/>
            </c:spPr>
            <c:trendlineType val="linear"/>
            <c:dispRSqr val="0"/>
            <c:dispEq val="0"/>
          </c:trendline>
          <c:cat>
            <c:strLit>
              <c:ptCount val="5"/>
              <c:pt idx="0">
                <c:v>MP Stoinis</c:v>
              </c:pt>
              <c:pt idx="1">
                <c:v>AD Hales</c:v>
              </c:pt>
              <c:pt idx="2">
                <c:v>JW Wells</c:v>
              </c:pt>
              <c:pt idx="3">
                <c:v>JR Philippe</c:v>
              </c:pt>
              <c:pt idx="4">
                <c:v>SE Marsh</c:v>
              </c:pt>
            </c:strLit>
          </c:cat>
          <c:val>
            <c:numLit>
              <c:formatCode>General</c:formatCode>
              <c:ptCount val="5"/>
              <c:pt idx="0">
                <c:v>1</c:v>
              </c:pt>
              <c:pt idx="1">
                <c:v>2</c:v>
              </c:pt>
              <c:pt idx="2">
                <c:v>3</c:v>
              </c:pt>
              <c:pt idx="3">
                <c:v>4</c:v>
              </c:pt>
              <c:pt idx="4">
                <c:v>5</c:v>
              </c:pt>
            </c:numLit>
          </c:val>
          <c:extLst>
            <c:ext xmlns:c16="http://schemas.microsoft.com/office/drawing/2014/chart" uri="{C3380CC4-5D6E-409C-BE32-E72D297353CC}">
              <c16:uniqueId val="{00000008-9959-4ABE-B4A9-2579EE1F2C09}"/>
            </c:ext>
          </c:extLst>
        </c:ser>
        <c:dLbls>
          <c:dLblPos val="outEnd"/>
          <c:showLegendKey val="0"/>
          <c:showVal val="1"/>
          <c:showCatName val="0"/>
          <c:showSerName val="0"/>
          <c:showPercent val="0"/>
          <c:showBubbleSize val="0"/>
        </c:dLbls>
        <c:gapWidth val="100"/>
        <c:overlap val="-24"/>
        <c:axId val="1718084160"/>
        <c:axId val="1718088000"/>
      </c:barChart>
      <c:catAx>
        <c:axId val="171808416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Players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088000"/>
        <c:crosses val="autoZero"/>
        <c:auto val="1"/>
        <c:lblAlgn val="ctr"/>
        <c:lblOffset val="100"/>
        <c:noMultiLvlLbl val="0"/>
      </c:catAx>
      <c:valAx>
        <c:axId val="1718088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Ranks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084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Worst  Performers Rankings </a:t>
            </a:r>
          </a:p>
        </c:rich>
      </c:tx>
      <c:layout>
        <c:manualLayout>
          <c:xMode val="edge"/>
          <c:yMode val="edge"/>
          <c:x val="0.2285959396418204"/>
          <c:y val="7.666246719160103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57150" dist="19050" dir="5400000" algn="ctr" rotWithShape="0">
              <a:srgbClr val="000000">
                <a:alpha val="63000"/>
              </a:srgbClr>
            </a:outerShdw>
          </a:effectLst>
        </c:spPr>
      </c:pivotFmt>
      <c:pivotFmt>
        <c:idx val="6"/>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7"/>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8"/>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AA5-461B-BA56-C1E43C571F70}"/>
              </c:ext>
            </c:extLst>
          </c:dPt>
          <c:dPt>
            <c:idx val="1"/>
            <c:invertIfNegative val="0"/>
            <c:bubble3D val="0"/>
            <c:spPr>
              <a:solidFill>
                <a:schemeClr val="accent4">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330-4AF7-B9F3-CE18CEFD3639}"/>
              </c:ext>
            </c:extLst>
          </c:dPt>
          <c:dPt>
            <c:idx val="2"/>
            <c:invertIfNegative val="0"/>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AA5-461B-BA56-C1E43C571F70}"/>
              </c:ext>
            </c:extLst>
          </c:dPt>
          <c:dPt>
            <c:idx val="3"/>
            <c:invertIfNegative val="0"/>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AA5-461B-BA56-C1E43C571F70}"/>
              </c:ext>
            </c:extLst>
          </c:dPt>
          <c:dPt>
            <c:idx val="4"/>
            <c:invertIfNegative val="0"/>
            <c:bubble3D val="0"/>
            <c:extLst>
              <c:ext xmlns:c16="http://schemas.microsoft.com/office/drawing/2014/chart" uri="{C3380CC4-5D6E-409C-BE32-E72D297353CC}">
                <c16:uniqueId val="{00000007-7AA5-461B-BA56-C1E43C571F70}"/>
              </c:ext>
            </c:extLst>
          </c:dPt>
          <c:dLbls>
            <c:delete val="1"/>
          </c:dLbls>
          <c:trendline>
            <c:spPr>
              <a:ln w="19050" cap="rnd">
                <a:solidFill>
                  <a:schemeClr val="accent1"/>
                </a:solidFill>
              </a:ln>
              <a:effectLst/>
            </c:spPr>
            <c:trendlineType val="linear"/>
            <c:dispRSqr val="0"/>
            <c:dispEq val="0"/>
          </c:trendline>
          <c:cat>
            <c:strLit>
              <c:ptCount val="5"/>
              <c:pt idx="0">
                <c:v>MS Harris</c:v>
              </c:pt>
              <c:pt idx="1">
                <c:v>NJ Maddinson</c:v>
              </c:pt>
              <c:pt idx="2">
                <c:v>DT Christian</c:v>
              </c:pt>
              <c:pt idx="3">
                <c:v>CH Morris</c:v>
              </c:pt>
              <c:pt idx="4">
                <c:v>SD Heazlett</c:v>
              </c:pt>
            </c:strLit>
          </c:cat>
          <c:val>
            <c:numLit>
              <c:formatCode>General</c:formatCode>
              <c:ptCount val="5"/>
              <c:pt idx="0">
                <c:v>50</c:v>
              </c:pt>
              <c:pt idx="1">
                <c:v>49</c:v>
              </c:pt>
              <c:pt idx="2">
                <c:v>48</c:v>
              </c:pt>
              <c:pt idx="3">
                <c:v>47</c:v>
              </c:pt>
              <c:pt idx="4">
                <c:v>46</c:v>
              </c:pt>
            </c:numLit>
          </c:val>
          <c:extLst>
            <c:ext xmlns:c16="http://schemas.microsoft.com/office/drawing/2014/chart" uri="{C3380CC4-5D6E-409C-BE32-E72D297353CC}">
              <c16:uniqueId val="{00000008-7AA5-461B-BA56-C1E43C571F70}"/>
            </c:ext>
          </c:extLst>
        </c:ser>
        <c:dLbls>
          <c:dLblPos val="outEnd"/>
          <c:showLegendKey val="0"/>
          <c:showVal val="1"/>
          <c:showCatName val="0"/>
          <c:showSerName val="0"/>
          <c:showPercent val="0"/>
          <c:showBubbleSize val="0"/>
        </c:dLbls>
        <c:gapWidth val="100"/>
        <c:overlap val="-24"/>
        <c:axId val="1833525760"/>
        <c:axId val="1833521920"/>
      </c:barChart>
      <c:catAx>
        <c:axId val="183352576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Players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521920"/>
        <c:crosses val="autoZero"/>
        <c:auto val="1"/>
        <c:lblAlgn val="ctr"/>
        <c:lblOffset val="100"/>
        <c:noMultiLvlLbl val="0"/>
      </c:catAx>
      <c:valAx>
        <c:axId val="183352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Rankings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525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[BBL_2019-2020_Batting final.xlsx]PLAYERS!PivotTable3</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Top</a:t>
            </a:r>
            <a:r>
              <a:rPr lang="en-IN" b="1" baseline="0"/>
              <a:t> Run Scorer</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pivotFmt>
      <c:pivotFmt>
        <c:idx val="2"/>
        <c:spPr>
          <a:solidFill>
            <a:schemeClr val="tx1">
              <a:lumMod val="65000"/>
              <a:lumOff val="35000"/>
            </a:schemeClr>
          </a:solidFill>
          <a:ln>
            <a:noFill/>
          </a:ln>
          <a:effectLst/>
        </c:spPr>
      </c:pivotFmt>
      <c:pivotFmt>
        <c:idx val="3"/>
        <c:spPr>
          <a:solidFill>
            <a:schemeClr val="accent2">
              <a:lumMod val="75000"/>
            </a:schemeClr>
          </a:solidFill>
          <a:ln>
            <a:noFill/>
          </a:ln>
          <a:effectLst/>
        </c:spPr>
      </c:pivotFmt>
      <c:pivotFmt>
        <c:idx val="4"/>
        <c:spPr>
          <a:solidFill>
            <a:schemeClr val="accent5">
              <a:lumMod val="75000"/>
            </a:schemeClr>
          </a:solidFill>
          <a:ln>
            <a:noFill/>
          </a:ln>
          <a:effectLst/>
        </c:spPr>
      </c:pivotFmt>
      <c:pivotFmt>
        <c:idx val="5"/>
        <c:spPr>
          <a:solidFill>
            <a:srgbClr val="7030A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030A0"/>
          </a:solidFill>
          <a:ln>
            <a:noFill/>
          </a:ln>
          <a:effectLst/>
        </c:spPr>
      </c:pivotFmt>
      <c:pivotFmt>
        <c:idx val="8"/>
        <c:spPr>
          <a:solidFill>
            <a:schemeClr val="accent5">
              <a:lumMod val="75000"/>
            </a:schemeClr>
          </a:solidFill>
          <a:ln>
            <a:noFill/>
          </a:ln>
          <a:effectLst/>
        </c:spPr>
      </c:pivotFmt>
      <c:pivotFmt>
        <c:idx val="9"/>
        <c:spPr>
          <a:solidFill>
            <a:schemeClr val="accent2">
              <a:lumMod val="75000"/>
            </a:schemeClr>
          </a:solidFill>
          <a:ln>
            <a:noFill/>
          </a:ln>
          <a:effectLst/>
        </c:spPr>
      </c:pivotFmt>
      <c:pivotFmt>
        <c:idx val="10"/>
        <c:spPr>
          <a:solidFill>
            <a:schemeClr val="tx1">
              <a:lumMod val="65000"/>
              <a:lumOff val="35000"/>
            </a:schemeClr>
          </a:solidFill>
          <a:ln>
            <a:noFill/>
          </a:ln>
          <a:effectLst/>
        </c:spPr>
      </c:pivotFmt>
      <c:pivotFmt>
        <c:idx val="11"/>
        <c:spPr>
          <a:solidFill>
            <a:srgbClr val="FFFF00"/>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7030A0"/>
          </a:solidFill>
          <a:ln>
            <a:noFill/>
          </a:ln>
          <a:effectLst/>
        </c:spPr>
      </c:pivotFmt>
      <c:pivotFmt>
        <c:idx val="14"/>
        <c:spPr>
          <a:solidFill>
            <a:schemeClr val="accent5">
              <a:lumMod val="75000"/>
            </a:schemeClr>
          </a:solidFill>
          <a:ln>
            <a:noFill/>
          </a:ln>
          <a:effectLst/>
        </c:spPr>
      </c:pivotFmt>
      <c:pivotFmt>
        <c:idx val="15"/>
        <c:spPr>
          <a:solidFill>
            <a:schemeClr val="accent2">
              <a:lumMod val="75000"/>
            </a:schemeClr>
          </a:solidFill>
          <a:ln>
            <a:noFill/>
          </a:ln>
          <a:effectLst/>
        </c:spPr>
      </c:pivotFmt>
      <c:pivotFmt>
        <c:idx val="16"/>
        <c:spPr>
          <a:solidFill>
            <a:schemeClr val="tx1">
              <a:lumMod val="65000"/>
              <a:lumOff val="35000"/>
            </a:schemeClr>
          </a:solidFill>
          <a:ln>
            <a:noFill/>
          </a:ln>
          <a:effectLst/>
        </c:spPr>
      </c:pivotFmt>
      <c:pivotFmt>
        <c:idx val="17"/>
        <c:spPr>
          <a:solidFill>
            <a:srgbClr val="FFFF00"/>
          </a:solidFill>
          <a:ln>
            <a:noFill/>
          </a:ln>
          <a:effectLst/>
        </c:spPr>
      </c:pivotFmt>
    </c:pivotFmts>
    <c:plotArea>
      <c:layout/>
      <c:barChart>
        <c:barDir val="bar"/>
        <c:grouping val="clustered"/>
        <c:varyColors val="0"/>
        <c:ser>
          <c:idx val="0"/>
          <c:order val="0"/>
          <c:tx>
            <c:strRef>
              <c:f>PLAYERS!$K$3</c:f>
              <c:strCache>
                <c:ptCount val="1"/>
                <c:pt idx="0">
                  <c:v>Total</c:v>
                </c:pt>
              </c:strCache>
            </c:strRef>
          </c:tx>
          <c:spPr>
            <a:solidFill>
              <a:schemeClr val="accent1"/>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1-D8F4-49BB-9C13-0366052D88D2}"/>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D8F4-49BB-9C13-0366052D88D2}"/>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5-D8F4-49BB-9C13-0366052D88D2}"/>
              </c:ext>
            </c:extLst>
          </c:dPt>
          <c:dPt>
            <c:idx val="3"/>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7-D8F4-49BB-9C13-0366052D88D2}"/>
              </c:ext>
            </c:extLst>
          </c:dPt>
          <c:dPt>
            <c:idx val="4"/>
            <c:invertIfNegative val="0"/>
            <c:bubble3D val="0"/>
            <c:spPr>
              <a:solidFill>
                <a:srgbClr val="FFFF00"/>
              </a:solidFill>
              <a:ln>
                <a:noFill/>
              </a:ln>
              <a:effectLst/>
            </c:spPr>
            <c:extLst>
              <c:ext xmlns:c16="http://schemas.microsoft.com/office/drawing/2014/chart" uri="{C3380CC4-5D6E-409C-BE32-E72D297353CC}">
                <c16:uniqueId val="{00000009-D8F4-49BB-9C13-0366052D88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PLAYERS!$J$4:$J$9</c:f>
              <c:strCache>
                <c:ptCount val="5"/>
                <c:pt idx="0">
                  <c:v>SE Marsh</c:v>
                </c:pt>
                <c:pt idx="1">
                  <c:v>JW Wells</c:v>
                </c:pt>
                <c:pt idx="2">
                  <c:v>JR Philippe</c:v>
                </c:pt>
                <c:pt idx="3">
                  <c:v>AD Hales</c:v>
                </c:pt>
                <c:pt idx="4">
                  <c:v>MP Stoinis</c:v>
                </c:pt>
              </c:strCache>
            </c:strRef>
          </c:cat>
          <c:val>
            <c:numRef>
              <c:f>PLAYERS!$K$4:$K$9</c:f>
              <c:numCache>
                <c:formatCode>General</c:formatCode>
                <c:ptCount val="5"/>
                <c:pt idx="0">
                  <c:v>449</c:v>
                </c:pt>
                <c:pt idx="1">
                  <c:v>478</c:v>
                </c:pt>
                <c:pt idx="2">
                  <c:v>487</c:v>
                </c:pt>
                <c:pt idx="3">
                  <c:v>576</c:v>
                </c:pt>
                <c:pt idx="4">
                  <c:v>705</c:v>
                </c:pt>
              </c:numCache>
            </c:numRef>
          </c:val>
          <c:extLst>
            <c:ext xmlns:c16="http://schemas.microsoft.com/office/drawing/2014/chart" uri="{C3380CC4-5D6E-409C-BE32-E72D297353CC}">
              <c16:uniqueId val="{0000000B-D8F4-49BB-9C13-0366052D88D2}"/>
            </c:ext>
          </c:extLst>
        </c:ser>
        <c:dLbls>
          <c:dLblPos val="outEnd"/>
          <c:showLegendKey val="0"/>
          <c:showVal val="1"/>
          <c:showCatName val="0"/>
          <c:showSerName val="0"/>
          <c:showPercent val="0"/>
          <c:showBubbleSize val="0"/>
        </c:dLbls>
        <c:gapWidth val="182"/>
        <c:axId val="1731900831"/>
        <c:axId val="1731907551"/>
      </c:barChart>
      <c:catAx>
        <c:axId val="1731900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907551"/>
        <c:crosses val="autoZero"/>
        <c:auto val="1"/>
        <c:lblAlgn val="ctr"/>
        <c:lblOffset val="100"/>
        <c:noMultiLvlLbl val="0"/>
      </c:catAx>
      <c:valAx>
        <c:axId val="1731907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90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51055">
          <a:srgbClr val="DCEBD2"/>
        </a:gs>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[BBL_2019-2020_Batting final.xlsx]PLAYERS!PivotTable4</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The</a:t>
            </a:r>
            <a:r>
              <a:rPr lang="en-IN" b="1" baseline="0"/>
              <a:t> Unbeaten heroes of the team</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b="1"/>
          </a:p>
        </c:rich>
      </c:tx>
      <c:layout>
        <c:manualLayout>
          <c:xMode val="edge"/>
          <c:yMode val="edge"/>
          <c:x val="0.17886360473142482"/>
          <c:y val="8.980368353190987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lumMod val="60000"/>
              <a:lumOff val="40000"/>
            </a:schemeClr>
          </a:solidFill>
          <a:ln>
            <a:noFill/>
          </a:ln>
          <a:effectLst/>
        </c:spPr>
      </c:pivotFmt>
      <c:pivotFmt>
        <c:idx val="3"/>
        <c:spPr>
          <a:solidFill>
            <a:srgbClr val="92D050"/>
          </a:solidFill>
          <a:ln>
            <a:noFill/>
          </a:ln>
          <a:effectLst/>
        </c:spPr>
      </c:pivotFmt>
      <c:pivotFmt>
        <c:idx val="4"/>
        <c:spPr>
          <a:solidFill>
            <a:srgbClr val="00B050"/>
          </a:solidFill>
          <a:ln>
            <a:noFill/>
          </a:ln>
          <a:effectLst/>
        </c:spPr>
      </c:pivotFmt>
      <c:pivotFmt>
        <c:idx val="5"/>
        <c:spPr>
          <a:solidFill>
            <a:schemeClr val="accent6">
              <a:lumMod val="40000"/>
              <a:lumOff val="60000"/>
            </a:schemeClr>
          </a:solidFill>
          <a:ln>
            <a:noFill/>
          </a:ln>
          <a:effectLst/>
        </c:spPr>
      </c:pivotFmt>
      <c:pivotFmt>
        <c:idx val="6"/>
        <c:spPr>
          <a:solidFill>
            <a:schemeClr val="tx2">
              <a:lumMod val="60000"/>
              <a:lumOff val="40000"/>
            </a:schemeClr>
          </a:solidFill>
          <a:ln>
            <a:noFill/>
          </a:ln>
          <a:effectLst/>
        </c:spPr>
      </c:pivotFmt>
      <c:pivotFmt>
        <c:idx val="7"/>
        <c:spPr>
          <a:solidFill>
            <a:srgbClr val="FF0000"/>
          </a:solidFill>
          <a:ln>
            <a:noFill/>
          </a:ln>
          <a:effectLst/>
        </c:spPr>
      </c:pivotFmt>
      <c:pivotFmt>
        <c:idx val="8"/>
        <c:spPr>
          <a:solidFill>
            <a:srgbClr val="FF0000"/>
          </a:solidFill>
          <a:ln>
            <a:noFill/>
          </a:ln>
          <a:effectLst/>
        </c:spPr>
      </c:pivotFmt>
      <c:pivotFmt>
        <c:idx val="9"/>
        <c:spPr>
          <a:solidFill>
            <a:srgbClr val="FF0000"/>
          </a:solidFill>
          <a:ln>
            <a:noFill/>
          </a:ln>
          <a:effectLst/>
        </c:spPr>
      </c:pivotFmt>
      <c:pivotFmt>
        <c:idx val="10"/>
        <c:spPr>
          <a:solidFill>
            <a:srgbClr val="FF0000"/>
          </a:solidFill>
          <a:ln>
            <a:noFill/>
          </a:ln>
          <a:effectLst/>
        </c:spPr>
      </c:pivotFmt>
      <c:pivotFmt>
        <c:idx val="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tx2">
              <a:lumMod val="60000"/>
              <a:lumOff val="40000"/>
            </a:schemeClr>
          </a:solidFill>
          <a:ln>
            <a:noFill/>
          </a:ln>
          <a:effectLst/>
        </c:spPr>
      </c:pivotFmt>
      <c:pivotFmt>
        <c:idx val="14"/>
        <c:spPr>
          <a:solidFill>
            <a:schemeClr val="accent6">
              <a:lumMod val="40000"/>
              <a:lumOff val="60000"/>
            </a:schemeClr>
          </a:solidFill>
          <a:ln>
            <a:noFill/>
          </a:ln>
          <a:effectLst/>
        </c:spPr>
      </c:pivotFmt>
      <c:pivotFmt>
        <c:idx val="15"/>
        <c:spPr>
          <a:solidFill>
            <a:srgbClr val="00B050"/>
          </a:solidFill>
          <a:ln>
            <a:noFill/>
          </a:ln>
          <a:effectLst/>
        </c:spPr>
      </c:pivotFmt>
      <c:pivotFmt>
        <c:idx val="16"/>
        <c:spPr>
          <a:solidFill>
            <a:srgbClr val="92D050"/>
          </a:solidFill>
          <a:ln>
            <a:noFill/>
          </a:ln>
          <a:effectLst/>
        </c:spPr>
      </c:pivotFmt>
      <c:pivotFmt>
        <c:idx val="17"/>
        <c:spPr>
          <a:solidFill>
            <a:schemeClr val="accent4">
              <a:lumMod val="60000"/>
              <a:lumOff val="40000"/>
            </a:schemeClr>
          </a:solidFill>
          <a:ln>
            <a:noFill/>
          </a:ln>
          <a:effectLst/>
        </c:spPr>
      </c:pivotFmt>
      <c:pivotFmt>
        <c:idx val="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rgbClr val="FF0000"/>
          </a:solidFill>
          <a:ln>
            <a:noFill/>
          </a:ln>
          <a:effectLst/>
        </c:spPr>
      </c:pivotFmt>
      <c:pivotFmt>
        <c:idx val="20"/>
        <c:spPr>
          <a:solidFill>
            <a:srgbClr val="FF0000"/>
          </a:solidFill>
          <a:ln>
            <a:noFill/>
          </a:ln>
          <a:effectLst/>
        </c:spPr>
      </c:pivotFmt>
      <c:pivotFmt>
        <c:idx val="21"/>
        <c:spPr>
          <a:solidFill>
            <a:srgbClr val="FF0000"/>
          </a:solidFill>
          <a:ln>
            <a:noFill/>
          </a:ln>
          <a:effectLst/>
        </c:spPr>
      </c:pivotFmt>
      <c:pivotFmt>
        <c:idx val="22"/>
        <c:spPr>
          <a:solidFill>
            <a:srgbClr val="FF0000"/>
          </a:solidFill>
          <a:ln>
            <a:noFill/>
          </a:ln>
          <a:effectLst/>
        </c:spPr>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60000"/>
              <a:lumOff val="40000"/>
            </a:schemeClr>
          </a:solidFill>
          <a:ln>
            <a:noFill/>
          </a:ln>
          <a:effectLst/>
        </c:spPr>
      </c:pivotFmt>
      <c:pivotFmt>
        <c:idx val="26"/>
        <c:spPr>
          <a:solidFill>
            <a:schemeClr val="accent6">
              <a:lumMod val="40000"/>
              <a:lumOff val="60000"/>
            </a:schemeClr>
          </a:solidFill>
          <a:ln>
            <a:noFill/>
          </a:ln>
          <a:effectLst/>
        </c:spPr>
      </c:pivotFmt>
      <c:pivotFmt>
        <c:idx val="27"/>
        <c:spPr>
          <a:solidFill>
            <a:srgbClr val="00B050"/>
          </a:solidFill>
          <a:ln>
            <a:noFill/>
          </a:ln>
          <a:effectLst/>
        </c:spPr>
      </c:pivotFmt>
      <c:pivotFmt>
        <c:idx val="28"/>
        <c:spPr>
          <a:solidFill>
            <a:srgbClr val="92D050"/>
          </a:solidFill>
          <a:ln>
            <a:noFill/>
          </a:ln>
          <a:effectLst/>
        </c:spPr>
      </c:pivotFmt>
      <c:pivotFmt>
        <c:idx val="29"/>
        <c:spPr>
          <a:solidFill>
            <a:schemeClr val="accent4">
              <a:lumMod val="60000"/>
              <a:lumOff val="40000"/>
            </a:schemeClr>
          </a:solidFill>
          <a:ln>
            <a:noFill/>
          </a:ln>
          <a:effectLst/>
        </c:spPr>
      </c:pivotFmt>
      <c:pivotFmt>
        <c:idx val="3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rgbClr val="FF0000"/>
          </a:solidFill>
          <a:ln>
            <a:noFill/>
          </a:ln>
          <a:effectLst/>
        </c:spPr>
      </c:pivotFmt>
      <c:pivotFmt>
        <c:idx val="34"/>
        <c:spPr>
          <a:solidFill>
            <a:srgbClr val="FF0000"/>
          </a:solidFill>
          <a:ln>
            <a:noFill/>
          </a:ln>
          <a:effectLst/>
        </c:spPr>
      </c:pivotFmt>
      <c:pivotFmt>
        <c:idx val="35"/>
        <c:spPr>
          <a:solidFill>
            <a:srgbClr val="FF0000"/>
          </a:solidFill>
          <a:ln>
            <a:noFill/>
          </a:ln>
          <a:effectLst/>
        </c:spPr>
        <c:dLbl>
          <c:idx val="0"/>
          <c:layout>
            <c:manualLayout>
              <c:x val="2.951778256191788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489808476571671"/>
          <c:y val="0.25818380994515872"/>
          <c:w val="0.3605148546496858"/>
          <c:h val="0.62428336685034869"/>
        </c:manualLayout>
      </c:layout>
      <c:barChart>
        <c:barDir val="bar"/>
        <c:grouping val="stacked"/>
        <c:varyColors val="0"/>
        <c:ser>
          <c:idx val="0"/>
          <c:order val="0"/>
          <c:tx>
            <c:strRef>
              <c:f>PLAYERS!$Q$3</c:f>
              <c:strCache>
                <c:ptCount val="1"/>
                <c:pt idx="0">
                  <c:v> Batting Average</c:v>
                </c:pt>
              </c:strCache>
            </c:strRef>
          </c:tx>
          <c:spPr>
            <a:solidFill>
              <a:schemeClr val="accent1"/>
            </a:solidFill>
            <a:ln>
              <a:noFill/>
            </a:ln>
            <a:effectLst/>
          </c:spPr>
          <c:invertIfNegative val="0"/>
          <c:dPt>
            <c:idx val="0"/>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1-C2FF-4B49-9698-0596A3D9C27F}"/>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C2FF-4B49-9698-0596A3D9C27F}"/>
              </c:ext>
            </c:extLst>
          </c:dPt>
          <c:dPt>
            <c:idx val="2"/>
            <c:invertIfNegative val="0"/>
            <c:bubble3D val="0"/>
            <c:spPr>
              <a:solidFill>
                <a:srgbClr val="00B050"/>
              </a:solidFill>
              <a:ln>
                <a:noFill/>
              </a:ln>
              <a:effectLst/>
            </c:spPr>
            <c:extLst>
              <c:ext xmlns:c16="http://schemas.microsoft.com/office/drawing/2014/chart" uri="{C3380CC4-5D6E-409C-BE32-E72D297353CC}">
                <c16:uniqueId val="{00000005-C2FF-4B49-9698-0596A3D9C27F}"/>
              </c:ext>
            </c:extLst>
          </c:dPt>
          <c:dPt>
            <c:idx val="3"/>
            <c:invertIfNegative val="0"/>
            <c:bubble3D val="0"/>
            <c:spPr>
              <a:solidFill>
                <a:srgbClr val="92D050"/>
              </a:solidFill>
              <a:ln>
                <a:noFill/>
              </a:ln>
              <a:effectLst/>
            </c:spPr>
            <c:extLst>
              <c:ext xmlns:c16="http://schemas.microsoft.com/office/drawing/2014/chart" uri="{C3380CC4-5D6E-409C-BE32-E72D297353CC}">
                <c16:uniqueId val="{00000007-C2FF-4B49-9698-0596A3D9C27F}"/>
              </c:ext>
            </c:extLst>
          </c:dPt>
          <c:dPt>
            <c:idx val="4"/>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9-C2FF-4B49-9698-0596A3D9C2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PLAYERS!$P$4:$P$9</c:f>
              <c:strCache>
                <c:ptCount val="5"/>
                <c:pt idx="0">
                  <c:v>M Wright</c:v>
                </c:pt>
                <c:pt idx="1">
                  <c:v>MS Wade</c:v>
                </c:pt>
                <c:pt idx="2">
                  <c:v>Mohammad Nabi</c:v>
                </c:pt>
                <c:pt idx="3">
                  <c:v>MP Stoinis</c:v>
                </c:pt>
                <c:pt idx="4">
                  <c:v>JW Wells</c:v>
                </c:pt>
              </c:strCache>
            </c:strRef>
          </c:cat>
          <c:val>
            <c:numRef>
              <c:f>PLAYERS!$Q$4:$Q$9</c:f>
              <c:numCache>
                <c:formatCode>0;[Red]0</c:formatCode>
                <c:ptCount val="5"/>
                <c:pt idx="0">
                  <c:v>49.66</c:v>
                </c:pt>
                <c:pt idx="1">
                  <c:v>50.14</c:v>
                </c:pt>
                <c:pt idx="2">
                  <c:v>53.33</c:v>
                </c:pt>
                <c:pt idx="3">
                  <c:v>54.23</c:v>
                </c:pt>
                <c:pt idx="4">
                  <c:v>68.28</c:v>
                </c:pt>
              </c:numCache>
            </c:numRef>
          </c:val>
          <c:extLst>
            <c:ext xmlns:c16="http://schemas.microsoft.com/office/drawing/2014/chart" uri="{C3380CC4-5D6E-409C-BE32-E72D297353CC}">
              <c16:uniqueId val="{0000000A-C2FF-4B49-9698-0596A3D9C27F}"/>
            </c:ext>
          </c:extLst>
        </c:ser>
        <c:ser>
          <c:idx val="1"/>
          <c:order val="1"/>
          <c:tx>
            <c:strRef>
              <c:f>PLAYERS!$R$3</c:f>
              <c:strCache>
                <c:ptCount val="1"/>
                <c:pt idx="0">
                  <c:v> Not Outs</c:v>
                </c:pt>
              </c:strCache>
            </c:strRef>
          </c:tx>
          <c:spPr>
            <a:solidFill>
              <a:srgbClr val="FF0000"/>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C-C2FF-4B49-9698-0596A3D9C27F}"/>
              </c:ext>
            </c:extLst>
          </c:dPt>
          <c:dPt>
            <c:idx val="1"/>
            <c:invertIfNegative val="0"/>
            <c:bubble3D val="0"/>
            <c:spPr>
              <a:solidFill>
                <a:srgbClr val="FF0000"/>
              </a:solidFill>
              <a:ln>
                <a:noFill/>
              </a:ln>
              <a:effectLst/>
            </c:spPr>
            <c:extLst>
              <c:ext xmlns:c16="http://schemas.microsoft.com/office/drawing/2014/chart" uri="{C3380CC4-5D6E-409C-BE32-E72D297353CC}">
                <c16:uniqueId val="{0000000E-C2FF-4B49-9698-0596A3D9C27F}"/>
              </c:ext>
            </c:extLst>
          </c:dPt>
          <c:dPt>
            <c:idx val="2"/>
            <c:invertIfNegative val="0"/>
            <c:bubble3D val="0"/>
            <c:spPr>
              <a:solidFill>
                <a:srgbClr val="FF0000"/>
              </a:solidFill>
              <a:ln>
                <a:noFill/>
              </a:ln>
              <a:effectLst/>
            </c:spPr>
            <c:extLst>
              <c:ext xmlns:c16="http://schemas.microsoft.com/office/drawing/2014/chart" uri="{C3380CC4-5D6E-409C-BE32-E72D297353CC}">
                <c16:uniqueId val="{00000010-C2FF-4B49-9698-0596A3D9C27F}"/>
              </c:ext>
            </c:extLst>
          </c:dPt>
          <c:dPt>
            <c:idx val="3"/>
            <c:invertIfNegative val="0"/>
            <c:bubble3D val="0"/>
            <c:spPr>
              <a:solidFill>
                <a:srgbClr val="FF0000"/>
              </a:solidFill>
              <a:ln>
                <a:noFill/>
              </a:ln>
              <a:effectLst/>
            </c:spPr>
            <c:extLst>
              <c:ext xmlns:c16="http://schemas.microsoft.com/office/drawing/2014/chart" uri="{C3380CC4-5D6E-409C-BE32-E72D297353CC}">
                <c16:uniqueId val="{00000012-C2FF-4B49-9698-0596A3D9C27F}"/>
              </c:ext>
            </c:extLst>
          </c:dPt>
          <c:dPt>
            <c:idx val="4"/>
            <c:invertIfNegative val="0"/>
            <c:bubble3D val="0"/>
            <c:spPr>
              <a:solidFill>
                <a:srgbClr val="FF0000"/>
              </a:solidFill>
              <a:ln>
                <a:noFill/>
              </a:ln>
              <a:effectLst/>
            </c:spPr>
            <c:extLst>
              <c:ext xmlns:c16="http://schemas.microsoft.com/office/drawing/2014/chart" uri="{C3380CC4-5D6E-409C-BE32-E72D297353CC}">
                <c16:uniqueId val="{00000013-C2FF-4B49-9698-0596A3D9C27F}"/>
              </c:ext>
            </c:extLst>
          </c:dPt>
          <c:dLbls>
            <c:dLbl>
              <c:idx val="4"/>
              <c:layout>
                <c:manualLayout>
                  <c:x val="2.951778256191788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2FF-4B49-9698-0596A3D9C2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PLAYERS!$P$4:$P$9</c:f>
              <c:strCache>
                <c:ptCount val="5"/>
                <c:pt idx="0">
                  <c:v>M Wright</c:v>
                </c:pt>
                <c:pt idx="1">
                  <c:v>MS Wade</c:v>
                </c:pt>
                <c:pt idx="2">
                  <c:v>Mohammad Nabi</c:v>
                </c:pt>
                <c:pt idx="3">
                  <c:v>MP Stoinis</c:v>
                </c:pt>
                <c:pt idx="4">
                  <c:v>JW Wells</c:v>
                </c:pt>
              </c:strCache>
            </c:strRef>
          </c:cat>
          <c:val>
            <c:numRef>
              <c:f>PLAYERS!$R$4:$R$9</c:f>
              <c:numCache>
                <c:formatCode>General</c:formatCode>
                <c:ptCount val="5"/>
                <c:pt idx="0">
                  <c:v>1</c:v>
                </c:pt>
                <c:pt idx="1">
                  <c:v>1</c:v>
                </c:pt>
                <c:pt idx="2">
                  <c:v>3</c:v>
                </c:pt>
                <c:pt idx="3">
                  <c:v>4</c:v>
                </c:pt>
                <c:pt idx="4">
                  <c:v>7</c:v>
                </c:pt>
              </c:numCache>
            </c:numRef>
          </c:val>
          <c:extLst>
            <c:ext xmlns:c16="http://schemas.microsoft.com/office/drawing/2014/chart" uri="{C3380CC4-5D6E-409C-BE32-E72D297353CC}">
              <c16:uniqueId val="{00000014-C2FF-4B49-9698-0596A3D9C27F}"/>
            </c:ext>
          </c:extLst>
        </c:ser>
        <c:dLbls>
          <c:dLblPos val="inBase"/>
          <c:showLegendKey val="0"/>
          <c:showVal val="1"/>
          <c:showCatName val="0"/>
          <c:showSerName val="0"/>
          <c:showPercent val="0"/>
          <c:showBubbleSize val="0"/>
        </c:dLbls>
        <c:gapWidth val="150"/>
        <c:overlap val="100"/>
        <c:axId val="1223505872"/>
        <c:axId val="1223506832"/>
      </c:barChart>
      <c:catAx>
        <c:axId val="122350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506832"/>
        <c:crosses val="autoZero"/>
        <c:auto val="1"/>
        <c:lblAlgn val="ctr"/>
        <c:lblOffset val="100"/>
        <c:noMultiLvlLbl val="0"/>
      </c:catAx>
      <c:valAx>
        <c:axId val="1223506832"/>
        <c:scaling>
          <c:orientation val="minMax"/>
        </c:scaling>
        <c:delete val="0"/>
        <c:axPos val="b"/>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50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[BBL_2019-2020_Batting final.xlsx] Players!PivotTable1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Performers: Speed &amp; Stability</a:t>
            </a:r>
            <a:endParaRPr lang="en-IN" b="1"/>
          </a:p>
        </c:rich>
      </c:tx>
      <c:layout>
        <c:manualLayout>
          <c:xMode val="edge"/>
          <c:yMode val="edge"/>
          <c:x val="0.290950907922224"/>
          <c:y val="0.1061380485334070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dLbl>
          <c:idx val="0"/>
          <c:layout>
            <c:manualLayout>
              <c:x val="-1.7847769028871516E-2"/>
              <c:y val="-5.084060329325787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25000"/>
            </a:schemeClr>
          </a:solidFill>
          <a:ln>
            <a:noFill/>
          </a:ln>
          <a:effectLst/>
        </c:spPr>
        <c:dLbl>
          <c:idx val="0"/>
          <c:layout>
            <c:manualLayout>
              <c:x val="-1.4437558895401766E-2"/>
              <c:y val="-1.109262340543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dLbl>
          <c:idx val="0"/>
          <c:layout>
            <c:manualLayout>
              <c:x val="-2.6540064844835697E-2"/>
              <c:y val="5.54631170271759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3345205581553827E-3"/>
              <c:y val="-1.0168120658651575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6">
              <a:lumMod val="75000"/>
            </a:schemeClr>
          </a:solidFill>
          <a:ln>
            <a:noFill/>
          </a:ln>
          <a:effectLst/>
        </c:spPr>
        <c:dLbl>
          <c:idx val="0"/>
          <c:layout>
            <c:manualLayout>
              <c:x val="1.5593106642602737E-2"/>
              <c:y val="-5.084060329325787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2.3345205581553827E-3"/>
              <c:y val="-1.0168120658651575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7030A0"/>
          </a:solidFill>
          <a:ln>
            <a:noFill/>
          </a:ln>
          <a:effectLst/>
        </c:spPr>
        <c:dLbl>
          <c:idx val="0"/>
          <c:layout>
            <c:manualLayout>
              <c:x val="-2.6540064844835697E-2"/>
              <c:y val="5.54631170271759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lumMod val="25000"/>
            </a:schemeClr>
          </a:solidFill>
          <a:ln>
            <a:noFill/>
          </a:ln>
          <a:effectLst/>
        </c:spPr>
        <c:dLbl>
          <c:idx val="0"/>
          <c:layout>
            <c:manualLayout>
              <c:x val="-1.4437558895401766E-2"/>
              <c:y val="-1.109262340543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dLbl>
          <c:idx val="0"/>
          <c:layout>
            <c:manualLayout>
              <c:x val="1.5593106642602737E-2"/>
              <c:y val="-5.084060329325787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0000"/>
          </a:solidFill>
          <a:ln>
            <a:noFill/>
          </a:ln>
          <a:effectLst/>
        </c:spPr>
        <c:dLbl>
          <c:idx val="0"/>
          <c:layout>
            <c:manualLayout>
              <c:x val="-1.7847769028871516E-2"/>
              <c:y val="-5.084060329325787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2.3345205581553827E-3"/>
              <c:y val="-1.0168120658651575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30A0"/>
          </a:solidFill>
          <a:ln>
            <a:noFill/>
          </a:ln>
          <a:effectLst/>
        </c:spPr>
        <c:dLbl>
          <c:idx val="0"/>
          <c:layout>
            <c:manualLayout>
              <c:x val="-2.6540064844835697E-2"/>
              <c:y val="5.54631170271759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bg2">
              <a:lumMod val="25000"/>
            </a:schemeClr>
          </a:solidFill>
          <a:ln>
            <a:noFill/>
          </a:ln>
          <a:effectLst/>
        </c:spPr>
        <c:dLbl>
          <c:idx val="0"/>
          <c:layout>
            <c:manualLayout>
              <c:x val="-1.4437558895401766E-2"/>
              <c:y val="-1.109262340543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75000"/>
            </a:schemeClr>
          </a:solidFill>
          <a:ln>
            <a:noFill/>
          </a:ln>
          <a:effectLst/>
        </c:spPr>
        <c:dLbl>
          <c:idx val="0"/>
          <c:layout>
            <c:manualLayout>
              <c:x val="1.5593106642602737E-2"/>
              <c:y val="-5.084060329325787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layout>
            <c:manualLayout>
              <c:x val="-1.7847769028871516E-2"/>
              <c:y val="-5.084060329325787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916043902788256"/>
          <c:y val="0.2460372340906338"/>
          <c:w val="0.55450256217972749"/>
          <c:h val="0.64565739589568849"/>
        </c:manualLayout>
      </c:layout>
      <c:barChart>
        <c:barDir val="bar"/>
        <c:grouping val="clustered"/>
        <c:varyColors val="0"/>
        <c:ser>
          <c:idx val="0"/>
          <c:order val="0"/>
          <c:tx>
            <c:strRef>
              <c:f>' Players'!$C$1</c:f>
              <c:strCache>
                <c:ptCount val="1"/>
                <c:pt idx="0">
                  <c:v> Strike Rate</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8B1F-49B6-B0DD-751088105E8F}"/>
              </c:ext>
            </c:extLst>
          </c:dPt>
          <c:dPt>
            <c:idx val="1"/>
            <c:invertIfNegative val="0"/>
            <c:bubble3D val="0"/>
            <c:spPr>
              <a:solidFill>
                <a:srgbClr val="7030A0"/>
              </a:solidFill>
              <a:ln>
                <a:noFill/>
              </a:ln>
              <a:effectLst/>
            </c:spPr>
            <c:extLst>
              <c:ext xmlns:c16="http://schemas.microsoft.com/office/drawing/2014/chart" uri="{C3380CC4-5D6E-409C-BE32-E72D297353CC}">
                <c16:uniqueId val="{00000003-8B1F-49B6-B0DD-751088105E8F}"/>
              </c:ext>
            </c:extLst>
          </c:dPt>
          <c:dPt>
            <c:idx val="2"/>
            <c:invertIfNegative val="0"/>
            <c:bubble3D val="0"/>
            <c:spPr>
              <a:solidFill>
                <a:schemeClr val="bg2">
                  <a:lumMod val="25000"/>
                </a:schemeClr>
              </a:solidFill>
              <a:ln>
                <a:noFill/>
              </a:ln>
              <a:effectLst/>
            </c:spPr>
            <c:extLst>
              <c:ext xmlns:c16="http://schemas.microsoft.com/office/drawing/2014/chart" uri="{C3380CC4-5D6E-409C-BE32-E72D297353CC}">
                <c16:uniqueId val="{00000005-8B1F-49B6-B0DD-751088105E8F}"/>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7-8B1F-49B6-B0DD-751088105E8F}"/>
              </c:ext>
            </c:extLst>
          </c:dPt>
          <c:dPt>
            <c:idx val="4"/>
            <c:invertIfNegative val="0"/>
            <c:bubble3D val="0"/>
            <c:spPr>
              <a:solidFill>
                <a:srgbClr val="FF0000"/>
              </a:solidFill>
              <a:ln>
                <a:noFill/>
              </a:ln>
              <a:effectLst/>
            </c:spPr>
            <c:extLst>
              <c:ext xmlns:c16="http://schemas.microsoft.com/office/drawing/2014/chart" uri="{C3380CC4-5D6E-409C-BE32-E72D297353CC}">
                <c16:uniqueId val="{00000009-8B1F-49B6-B0DD-751088105E8F}"/>
              </c:ext>
            </c:extLst>
          </c:dPt>
          <c:dLbls>
            <c:dLbl>
              <c:idx val="0"/>
              <c:layout>
                <c:manualLayout>
                  <c:x val="2.3345205581553827E-3"/>
                  <c:y val="-1.0168120658651575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B1F-49B6-B0DD-751088105E8F}"/>
                </c:ext>
              </c:extLst>
            </c:dLbl>
            <c:dLbl>
              <c:idx val="1"/>
              <c:layout>
                <c:manualLayout>
                  <c:x val="-2.6540064844835697E-2"/>
                  <c:y val="5.546311702717590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B1F-49B6-B0DD-751088105E8F}"/>
                </c:ext>
              </c:extLst>
            </c:dLbl>
            <c:dLbl>
              <c:idx val="2"/>
              <c:layout>
                <c:manualLayout>
                  <c:x val="-1.4437558895401766E-2"/>
                  <c:y val="-1.109262340543538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B1F-49B6-B0DD-751088105E8F}"/>
                </c:ext>
              </c:extLst>
            </c:dLbl>
            <c:dLbl>
              <c:idx val="3"/>
              <c:layout>
                <c:manualLayout>
                  <c:x val="1.5593106642602737E-2"/>
                  <c:y val="-5.084060329325787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B1F-49B6-B0DD-751088105E8F}"/>
                </c:ext>
              </c:extLst>
            </c:dLbl>
            <c:dLbl>
              <c:idx val="4"/>
              <c:layout>
                <c:manualLayout>
                  <c:x val="-1.7847769028871516E-2"/>
                  <c:y val="-5.084060329325787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B1F-49B6-B0DD-751088105E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Players'!$B$2:$B$7</c:f>
              <c:strCache>
                <c:ptCount val="5"/>
                <c:pt idx="0">
                  <c:v>M Wright</c:v>
                </c:pt>
                <c:pt idx="1">
                  <c:v>JW Wells</c:v>
                </c:pt>
                <c:pt idx="2">
                  <c:v>MP Stoinis</c:v>
                </c:pt>
                <c:pt idx="3">
                  <c:v>Mohammad Nabi</c:v>
                </c:pt>
                <c:pt idx="4">
                  <c:v>MS Wade</c:v>
                </c:pt>
              </c:strCache>
            </c:strRef>
          </c:cat>
          <c:val>
            <c:numRef>
              <c:f>' Players'!$C$2:$C$7</c:f>
              <c:numCache>
                <c:formatCode>0</c:formatCode>
                <c:ptCount val="5"/>
                <c:pt idx="0">
                  <c:v>125.21</c:v>
                </c:pt>
                <c:pt idx="1">
                  <c:v>135.41</c:v>
                </c:pt>
                <c:pt idx="2">
                  <c:v>136.62</c:v>
                </c:pt>
                <c:pt idx="3">
                  <c:v>160</c:v>
                </c:pt>
                <c:pt idx="4">
                  <c:v>171.21</c:v>
                </c:pt>
              </c:numCache>
            </c:numRef>
          </c:val>
          <c:extLst>
            <c:ext xmlns:c16="http://schemas.microsoft.com/office/drawing/2014/chart" uri="{C3380CC4-5D6E-409C-BE32-E72D297353CC}">
              <c16:uniqueId val="{0000000A-8B1F-49B6-B0DD-751088105E8F}"/>
            </c:ext>
          </c:extLst>
        </c:ser>
        <c:ser>
          <c:idx val="1"/>
          <c:order val="1"/>
          <c:tx>
            <c:strRef>
              <c:f>' Players'!$D$1</c:f>
              <c:strCache>
                <c:ptCount val="1"/>
                <c:pt idx="0">
                  <c:v> Batting Average</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B-8B1F-49B6-B0DD-751088105E8F}"/>
              </c:ext>
            </c:extLst>
          </c:dPt>
          <c:dPt>
            <c:idx val="1"/>
            <c:invertIfNegative val="0"/>
            <c:bubble3D val="0"/>
            <c:extLst>
              <c:ext xmlns:c16="http://schemas.microsoft.com/office/drawing/2014/chart" uri="{C3380CC4-5D6E-409C-BE32-E72D297353CC}">
                <c16:uniqueId val="{0000000C-8B1F-49B6-B0DD-751088105E8F}"/>
              </c:ext>
            </c:extLst>
          </c:dPt>
          <c:dPt>
            <c:idx val="2"/>
            <c:invertIfNegative val="0"/>
            <c:bubble3D val="0"/>
            <c:extLst>
              <c:ext xmlns:c16="http://schemas.microsoft.com/office/drawing/2014/chart" uri="{C3380CC4-5D6E-409C-BE32-E72D297353CC}">
                <c16:uniqueId val="{0000000D-8B1F-49B6-B0DD-751088105E8F}"/>
              </c:ext>
            </c:extLst>
          </c:dPt>
          <c:dPt>
            <c:idx val="3"/>
            <c:invertIfNegative val="0"/>
            <c:bubble3D val="0"/>
            <c:extLst>
              <c:ext xmlns:c16="http://schemas.microsoft.com/office/drawing/2014/chart" uri="{C3380CC4-5D6E-409C-BE32-E72D297353CC}">
                <c16:uniqueId val="{0000000E-8B1F-49B6-B0DD-751088105E8F}"/>
              </c:ext>
            </c:extLst>
          </c:dPt>
          <c:dPt>
            <c:idx val="4"/>
            <c:invertIfNegative val="0"/>
            <c:bubble3D val="0"/>
            <c:extLst>
              <c:ext xmlns:c16="http://schemas.microsoft.com/office/drawing/2014/chart" uri="{C3380CC4-5D6E-409C-BE32-E72D297353CC}">
                <c16:uniqueId val="{0000000F-8B1F-49B6-B0DD-751088105E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Players'!$B$2:$B$7</c:f>
              <c:strCache>
                <c:ptCount val="5"/>
                <c:pt idx="0">
                  <c:v>M Wright</c:v>
                </c:pt>
                <c:pt idx="1">
                  <c:v>JW Wells</c:v>
                </c:pt>
                <c:pt idx="2">
                  <c:v>MP Stoinis</c:v>
                </c:pt>
                <c:pt idx="3">
                  <c:v>Mohammad Nabi</c:v>
                </c:pt>
                <c:pt idx="4">
                  <c:v>MS Wade</c:v>
                </c:pt>
              </c:strCache>
            </c:strRef>
          </c:cat>
          <c:val>
            <c:numRef>
              <c:f>' Players'!$D$2:$D$7</c:f>
              <c:numCache>
                <c:formatCode>0;[Red]0</c:formatCode>
                <c:ptCount val="5"/>
                <c:pt idx="0">
                  <c:v>49.66</c:v>
                </c:pt>
                <c:pt idx="1">
                  <c:v>68.28</c:v>
                </c:pt>
                <c:pt idx="2">
                  <c:v>54.23</c:v>
                </c:pt>
                <c:pt idx="3">
                  <c:v>53.33</c:v>
                </c:pt>
                <c:pt idx="4">
                  <c:v>50.14</c:v>
                </c:pt>
              </c:numCache>
            </c:numRef>
          </c:val>
          <c:extLst>
            <c:ext xmlns:c16="http://schemas.microsoft.com/office/drawing/2014/chart" uri="{C3380CC4-5D6E-409C-BE32-E72D297353CC}">
              <c16:uniqueId val="{00000010-8B1F-49B6-B0DD-751088105E8F}"/>
            </c:ext>
          </c:extLst>
        </c:ser>
        <c:dLbls>
          <c:dLblPos val="ctr"/>
          <c:showLegendKey val="0"/>
          <c:showVal val="1"/>
          <c:showCatName val="0"/>
          <c:showSerName val="0"/>
          <c:showPercent val="0"/>
          <c:showBubbleSize val="0"/>
        </c:dLbls>
        <c:gapWidth val="150"/>
        <c:axId val="2068684064"/>
        <c:axId val="2068693184"/>
      </c:barChart>
      <c:catAx>
        <c:axId val="2068684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693184"/>
        <c:crosses val="autoZero"/>
        <c:auto val="1"/>
        <c:lblAlgn val="ctr"/>
        <c:lblOffset val="100"/>
        <c:noMultiLvlLbl val="0"/>
      </c:catAx>
      <c:valAx>
        <c:axId val="20686931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684064"/>
        <c:crosses val="autoZero"/>
        <c:crossBetween val="between"/>
      </c:valAx>
      <c:spPr>
        <a:noFill/>
        <a:ln>
          <a:noFill/>
        </a:ln>
        <a:effectLst/>
      </c:spPr>
    </c:plotArea>
    <c:legend>
      <c:legendPos val="l"/>
      <c:layout>
        <c:manualLayout>
          <c:xMode val="edge"/>
          <c:yMode val="edge"/>
          <c:x val="2.6200135226504394E-2"/>
          <c:y val="0.62088120848454675"/>
          <c:w val="0.1847257936571316"/>
          <c:h val="0.362061917801040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[BBL_2019-2020_Batting final.xlsx] Players!PivotTable2</c:name>
    <c:fmtId val="2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Most Consistent Players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4.166666666666666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4.1666666666666567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1.9444444444444445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3.611111111111110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3.333333333333333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4.1666666666666664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layout>
            <c:manualLayout>
              <c:x val="3.3333333333333333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1.9444444444444445E-2"/>
              <c:y val="1.388888888888888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1.8222222222222216E-2"/>
                  <c:h val="8.3264071157771929E-2"/>
                </c:manualLayout>
              </c15:layout>
            </c:ext>
          </c:extLst>
        </c:dLbl>
      </c:pivotFmt>
      <c:pivotFmt>
        <c:idx val="11"/>
      </c:pivotFmt>
      <c:pivotFmt>
        <c:idx val="12"/>
        <c:spPr>
          <a:solidFill>
            <a:schemeClr val="accent2"/>
          </a:solidFill>
          <a:ln>
            <a:noFill/>
          </a:ln>
          <a:effectLst/>
        </c:spPr>
      </c:pivotFmt>
      <c:pivotFmt>
        <c:idx val="13"/>
        <c:spPr>
          <a:solidFill>
            <a:schemeClr val="accent2">
              <a:lumMod val="60000"/>
              <a:lumOff val="40000"/>
            </a:schemeClr>
          </a:solidFill>
          <a:ln>
            <a:noFill/>
          </a:ln>
          <a:effectLst/>
        </c:spPr>
      </c:pivotFmt>
      <c:pivotFmt>
        <c:idx val="14"/>
        <c:spPr>
          <a:solidFill>
            <a:schemeClr val="accent2"/>
          </a:solidFill>
          <a:ln>
            <a:noFill/>
          </a:ln>
          <a:effectLst/>
        </c:spPr>
      </c:pivotFmt>
      <c:pivotFmt>
        <c:idx val="15"/>
        <c:spPr>
          <a:solidFill>
            <a:schemeClr val="accent2"/>
          </a:solidFill>
          <a:ln>
            <a:noFill/>
          </a:ln>
          <a:effectLst/>
        </c:spPr>
      </c:pivotFmt>
      <c:pivotFmt>
        <c:idx val="16"/>
        <c:spPr>
          <a:solidFill>
            <a:schemeClr val="accent2"/>
          </a:solidFill>
          <a:ln>
            <a:noFill/>
          </a:ln>
          <a:effectLst/>
        </c:spPr>
      </c:pivotFmt>
      <c:pivotFmt>
        <c:idx val="17"/>
        <c:spPr>
          <a:solidFill>
            <a:schemeClr val="accent2"/>
          </a:solidFill>
          <a:ln>
            <a:noFill/>
          </a:ln>
          <a:effectLst/>
        </c:spPr>
        <c:dLbl>
          <c:idx val="0"/>
          <c:layout>
            <c:manualLayout>
              <c:x val="1.5015015015014906E-2"/>
              <c:y val="5.058168942842644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layout>
            <c:manualLayout>
              <c:x val="9.0090090090090089E-3"/>
              <c:y val="-1.01163378856853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60000"/>
              <a:lumOff val="40000"/>
            </a:schemeClr>
          </a:solidFill>
          <a:ln>
            <a:noFill/>
          </a:ln>
          <a:effectLst/>
        </c:spPr>
      </c:pivotFmt>
      <c:pivotFmt>
        <c:idx val="20"/>
        <c:spPr>
          <a:solidFill>
            <a:schemeClr val="accent6">
              <a:lumMod val="60000"/>
              <a:lumOff val="40000"/>
            </a:schemeClr>
          </a:solidFill>
          <a:ln>
            <a:noFill/>
          </a:ln>
          <a:effectLst/>
        </c:spPr>
      </c:pivotFmt>
      <c:pivotFmt>
        <c:idx val="21"/>
        <c:spPr>
          <a:solidFill>
            <a:schemeClr val="tx2">
              <a:lumMod val="60000"/>
              <a:lumOff val="40000"/>
            </a:schemeClr>
          </a:solidFill>
          <a:ln>
            <a:noFill/>
          </a:ln>
          <a:effectLst/>
        </c:spPr>
      </c:pivotFmt>
      <c:pivotFmt>
        <c:idx val="22"/>
        <c:spPr>
          <a:solidFill>
            <a:schemeClr val="accent4">
              <a:lumMod val="20000"/>
              <a:lumOff val="80000"/>
            </a:schemeClr>
          </a:solidFill>
          <a:ln>
            <a:noFill/>
          </a:ln>
          <a:effectLst/>
        </c:spPr>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lumMod val="60000"/>
              <a:lumOff val="40000"/>
            </a:schemeClr>
          </a:solidFill>
          <a:ln>
            <a:noFill/>
          </a:ln>
          <a:effectLst/>
        </c:spPr>
      </c:pivotFmt>
      <c:pivotFmt>
        <c:idx val="25"/>
        <c:spPr>
          <a:solidFill>
            <a:schemeClr val="accent4">
              <a:lumMod val="20000"/>
              <a:lumOff val="80000"/>
            </a:schemeClr>
          </a:solidFill>
          <a:ln>
            <a:noFill/>
          </a:ln>
          <a:effectLst/>
        </c:spPr>
      </c:pivotFmt>
      <c:pivotFmt>
        <c:idx val="26"/>
        <c:spPr>
          <a:solidFill>
            <a:schemeClr val="tx2">
              <a:lumMod val="60000"/>
              <a:lumOff val="40000"/>
            </a:schemeClr>
          </a:solidFill>
          <a:ln>
            <a:noFill/>
          </a:ln>
          <a:effectLst/>
        </c:spPr>
      </c:pivotFmt>
      <c:pivotFmt>
        <c:idx val="27"/>
        <c:spPr>
          <a:solidFill>
            <a:schemeClr val="accent6">
              <a:lumMod val="60000"/>
              <a:lumOff val="40000"/>
            </a:schemeClr>
          </a:solidFill>
          <a:ln>
            <a:noFill/>
          </a:ln>
          <a:effectLst/>
        </c:spPr>
      </c:pivotFmt>
      <c:pivotFmt>
        <c:idx val="28"/>
        <c:spPr>
          <a:solidFill>
            <a:schemeClr val="accent1">
              <a:lumMod val="60000"/>
              <a:lumOff val="40000"/>
            </a:schemeClr>
          </a:solidFill>
          <a:ln>
            <a:noFill/>
          </a:ln>
          <a:effectLst/>
        </c:spPr>
      </c:pivotFmt>
      <c:pivotFmt>
        <c:idx val="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dLbl>
          <c:idx val="0"/>
          <c:layout>
            <c:manualLayout>
              <c:x val="4.1666666666666567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layout>
            <c:manualLayout>
              <c:x val="4.166666666666666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layout>
            <c:manualLayout>
              <c:x val="3.3333333333333333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c:spPr>
        <c:dLbl>
          <c:idx val="0"/>
          <c:layout>
            <c:manualLayout>
              <c:x val="9.0090090090090089E-3"/>
              <c:y val="-1.01163378856853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c:spPr>
        <c:dLbl>
          <c:idx val="0"/>
          <c:layout>
            <c:manualLayout>
              <c:x val="1.5015015015014906E-2"/>
              <c:y val="5.058168942842644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lumMod val="60000"/>
              <a:lumOff val="40000"/>
            </a:schemeClr>
          </a:solidFill>
          <a:ln>
            <a:noFill/>
          </a:ln>
          <a:effectLst/>
        </c:spPr>
      </c:pivotFmt>
      <c:pivotFmt>
        <c:idx val="38"/>
        <c:spPr>
          <a:solidFill>
            <a:schemeClr val="accent4">
              <a:lumMod val="20000"/>
              <a:lumOff val="80000"/>
            </a:schemeClr>
          </a:solidFill>
          <a:ln>
            <a:noFill/>
          </a:ln>
          <a:effectLst/>
        </c:spPr>
      </c:pivotFmt>
      <c:pivotFmt>
        <c:idx val="39"/>
        <c:spPr>
          <a:solidFill>
            <a:schemeClr val="tx2">
              <a:lumMod val="60000"/>
              <a:lumOff val="40000"/>
            </a:schemeClr>
          </a:solidFill>
          <a:ln>
            <a:noFill/>
          </a:ln>
          <a:effectLst/>
        </c:spPr>
      </c:pivotFmt>
      <c:pivotFmt>
        <c:idx val="40"/>
        <c:spPr>
          <a:solidFill>
            <a:schemeClr val="accent6">
              <a:lumMod val="60000"/>
              <a:lumOff val="40000"/>
            </a:schemeClr>
          </a:solidFill>
          <a:ln>
            <a:noFill/>
          </a:ln>
          <a:effectLst/>
        </c:spPr>
      </c:pivotFmt>
      <c:pivotFmt>
        <c:idx val="41"/>
        <c:spPr>
          <a:solidFill>
            <a:schemeClr val="accent1">
              <a:lumMod val="60000"/>
              <a:lumOff val="40000"/>
            </a:schemeClr>
          </a:solidFill>
          <a:ln>
            <a:noFill/>
          </a:ln>
          <a:effectLst/>
        </c:spPr>
      </c:pivotFmt>
      <c:pivotFmt>
        <c:idx val="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6"/>
          </a:solidFill>
          <a:ln>
            <a:noFill/>
          </a:ln>
          <a:effectLst/>
        </c:spPr>
        <c:dLbl>
          <c:idx val="0"/>
          <c:layout>
            <c:manualLayout>
              <c:x val="4.1666666666666567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6"/>
          </a:solidFill>
          <a:ln>
            <a:noFill/>
          </a:ln>
          <a:effectLst/>
        </c:spPr>
        <c:dLbl>
          <c:idx val="0"/>
          <c:layout>
            <c:manualLayout>
              <c:x val="4.166666666666666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6"/>
          </a:solidFill>
          <a:ln>
            <a:noFill/>
          </a:ln>
          <a:effectLst/>
        </c:spPr>
        <c:dLbl>
          <c:idx val="0"/>
          <c:layout>
            <c:manualLayout>
              <c:x val="3.3333333333333333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2"/>
          </a:solidFill>
          <a:ln>
            <a:noFill/>
          </a:ln>
          <a:effectLst/>
        </c:spPr>
        <c:dLbl>
          <c:idx val="0"/>
          <c:layout>
            <c:manualLayout>
              <c:x val="9.0090090090090089E-3"/>
              <c:y val="-1.01163378856853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2"/>
          </a:solidFill>
          <a:ln>
            <a:noFill/>
          </a:ln>
          <a:effectLst/>
        </c:spPr>
        <c:dLbl>
          <c:idx val="0"/>
          <c:layout>
            <c:manualLayout>
              <c:x val="1.5015015015014906E-2"/>
              <c:y val="5.058168942842644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196947424085852"/>
          <c:y val="0.25730666443629291"/>
          <c:w val="0.4908165592055152"/>
          <c:h val="0.62535257827217727"/>
        </c:manualLayout>
      </c:layout>
      <c:barChart>
        <c:barDir val="bar"/>
        <c:grouping val="stacked"/>
        <c:varyColors val="0"/>
        <c:ser>
          <c:idx val="0"/>
          <c:order val="0"/>
          <c:tx>
            <c:strRef>
              <c:f>' Players'!$K$2</c:f>
              <c:strCache>
                <c:ptCount val="1"/>
                <c:pt idx="0">
                  <c:v> Innings</c:v>
                </c:pt>
              </c:strCache>
            </c:strRef>
          </c:tx>
          <c:spPr>
            <a:solidFill>
              <a:schemeClr val="accent2"/>
            </a:solidFill>
            <a:ln>
              <a:noFill/>
            </a:ln>
            <a:effectLst/>
          </c:spPr>
          <c:invertIfNegative val="0"/>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D000-4C3D-8DC0-5F9E389A45B5}"/>
              </c:ext>
            </c:extLst>
          </c:dPt>
          <c:dPt>
            <c:idx val="3"/>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3-D000-4C3D-8DC0-5F9E389A45B5}"/>
              </c:ext>
            </c:extLst>
          </c:dPt>
          <c:dPt>
            <c:idx val="4"/>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5-D000-4C3D-8DC0-5F9E389A45B5}"/>
              </c:ext>
            </c:extLst>
          </c:dPt>
          <c:dPt>
            <c:idx val="5"/>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7-D000-4C3D-8DC0-5F9E389A45B5}"/>
              </c:ext>
            </c:extLst>
          </c:dPt>
          <c:dPt>
            <c:idx val="6"/>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9-D000-4C3D-8DC0-5F9E389A45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Players'!$J$3:$J$10</c:f>
              <c:strCache>
                <c:ptCount val="7"/>
                <c:pt idx="0">
                  <c:v>AD Hales</c:v>
                </c:pt>
                <c:pt idx="1">
                  <c:v>MP Stoinis</c:v>
                </c:pt>
                <c:pt idx="2">
                  <c:v>JR Philippe</c:v>
                </c:pt>
                <c:pt idx="3">
                  <c:v>PD Salt</c:v>
                </c:pt>
                <c:pt idx="4">
                  <c:v>JP Inglis</c:v>
                </c:pt>
                <c:pt idx="5">
                  <c:v>LS Livingstone</c:v>
                </c:pt>
                <c:pt idx="6">
                  <c:v>JW Wells</c:v>
                </c:pt>
              </c:strCache>
            </c:strRef>
          </c:cat>
          <c:val>
            <c:numRef>
              <c:f>' Players'!$K$3:$K$10</c:f>
              <c:numCache>
                <c:formatCode>General</c:formatCode>
                <c:ptCount val="7"/>
                <c:pt idx="0">
                  <c:v>17</c:v>
                </c:pt>
                <c:pt idx="1">
                  <c:v>17</c:v>
                </c:pt>
                <c:pt idx="2">
                  <c:v>16</c:v>
                </c:pt>
                <c:pt idx="3">
                  <c:v>15</c:v>
                </c:pt>
                <c:pt idx="4">
                  <c:v>14</c:v>
                </c:pt>
                <c:pt idx="5">
                  <c:v>14</c:v>
                </c:pt>
                <c:pt idx="6">
                  <c:v>14</c:v>
                </c:pt>
              </c:numCache>
            </c:numRef>
          </c:val>
          <c:extLst>
            <c:ext xmlns:c16="http://schemas.microsoft.com/office/drawing/2014/chart" uri="{C3380CC4-5D6E-409C-BE32-E72D297353CC}">
              <c16:uniqueId val="{0000000A-D000-4C3D-8DC0-5F9E389A45B5}"/>
            </c:ext>
          </c:extLst>
        </c:ser>
        <c:ser>
          <c:idx val="1"/>
          <c:order val="1"/>
          <c:tx>
            <c:strRef>
              <c:f>' Players'!$L$2</c:f>
              <c:strCache>
                <c:ptCount val="1"/>
                <c:pt idx="0">
                  <c:v> 50's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Players'!$J$3:$J$10</c:f>
              <c:strCache>
                <c:ptCount val="7"/>
                <c:pt idx="0">
                  <c:v>AD Hales</c:v>
                </c:pt>
                <c:pt idx="1">
                  <c:v>MP Stoinis</c:v>
                </c:pt>
                <c:pt idx="2">
                  <c:v>JR Philippe</c:v>
                </c:pt>
                <c:pt idx="3">
                  <c:v>PD Salt</c:v>
                </c:pt>
                <c:pt idx="4">
                  <c:v>JP Inglis</c:v>
                </c:pt>
                <c:pt idx="5">
                  <c:v>LS Livingstone</c:v>
                </c:pt>
                <c:pt idx="6">
                  <c:v>JW Wells</c:v>
                </c:pt>
              </c:strCache>
            </c:strRef>
          </c:cat>
          <c:val>
            <c:numRef>
              <c:f>' Players'!$L$3:$L$10</c:f>
              <c:numCache>
                <c:formatCode>0;[Red]0</c:formatCode>
                <c:ptCount val="7"/>
                <c:pt idx="0">
                  <c:v>6</c:v>
                </c:pt>
                <c:pt idx="1">
                  <c:v>6</c:v>
                </c:pt>
                <c:pt idx="2">
                  <c:v>5</c:v>
                </c:pt>
                <c:pt idx="3">
                  <c:v>4</c:v>
                </c:pt>
                <c:pt idx="4">
                  <c:v>4</c:v>
                </c:pt>
                <c:pt idx="5">
                  <c:v>4</c:v>
                </c:pt>
                <c:pt idx="6">
                  <c:v>4</c:v>
                </c:pt>
              </c:numCache>
            </c:numRef>
          </c:val>
          <c:extLst>
            <c:ext xmlns:c16="http://schemas.microsoft.com/office/drawing/2014/chart" uri="{C3380CC4-5D6E-409C-BE32-E72D297353CC}">
              <c16:uniqueId val="{0000000B-D000-4C3D-8DC0-5F9E389A45B5}"/>
            </c:ext>
          </c:extLst>
        </c:ser>
        <c:ser>
          <c:idx val="2"/>
          <c:order val="2"/>
          <c:tx>
            <c:strRef>
              <c:f>' Players'!$M$2</c:f>
              <c:strCache>
                <c:ptCount val="1"/>
                <c:pt idx="0">
                  <c:v> 100's</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D-D000-4C3D-8DC0-5F9E389A45B5}"/>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F-D000-4C3D-8DC0-5F9E389A45B5}"/>
              </c:ext>
            </c:extLst>
          </c:dPt>
          <c:dPt>
            <c:idx val="2"/>
            <c:invertIfNegative val="0"/>
            <c:bubble3D val="0"/>
            <c:extLst>
              <c:ext xmlns:c16="http://schemas.microsoft.com/office/drawing/2014/chart" uri="{C3380CC4-5D6E-409C-BE32-E72D297353CC}">
                <c16:uniqueId val="{00000010-D000-4C3D-8DC0-5F9E389A45B5}"/>
              </c:ext>
            </c:extLst>
          </c:dPt>
          <c:dPt>
            <c:idx val="3"/>
            <c:invertIfNegative val="0"/>
            <c:bubble3D val="0"/>
            <c:spPr>
              <a:solidFill>
                <a:schemeClr val="accent6"/>
              </a:solidFill>
              <a:ln>
                <a:noFill/>
              </a:ln>
              <a:effectLst/>
            </c:spPr>
            <c:extLst>
              <c:ext xmlns:c16="http://schemas.microsoft.com/office/drawing/2014/chart" uri="{C3380CC4-5D6E-409C-BE32-E72D297353CC}">
                <c16:uniqueId val="{00000012-D000-4C3D-8DC0-5F9E389A45B5}"/>
              </c:ext>
            </c:extLst>
          </c:dPt>
          <c:dPt>
            <c:idx val="4"/>
            <c:invertIfNegative val="0"/>
            <c:bubble3D val="0"/>
            <c:extLst>
              <c:ext xmlns:c16="http://schemas.microsoft.com/office/drawing/2014/chart" uri="{C3380CC4-5D6E-409C-BE32-E72D297353CC}">
                <c16:uniqueId val="{00000013-D000-4C3D-8DC0-5F9E389A45B5}"/>
              </c:ext>
            </c:extLst>
          </c:dPt>
          <c:dPt>
            <c:idx val="5"/>
            <c:invertIfNegative val="0"/>
            <c:bubble3D val="0"/>
            <c:extLst>
              <c:ext xmlns:c16="http://schemas.microsoft.com/office/drawing/2014/chart" uri="{C3380CC4-5D6E-409C-BE32-E72D297353CC}">
                <c16:uniqueId val="{00000014-D000-4C3D-8DC0-5F9E389A45B5}"/>
              </c:ext>
            </c:extLst>
          </c:dPt>
          <c:dPt>
            <c:idx val="6"/>
            <c:invertIfNegative val="0"/>
            <c:bubble3D val="0"/>
            <c:extLst>
              <c:ext xmlns:c16="http://schemas.microsoft.com/office/drawing/2014/chart" uri="{C3380CC4-5D6E-409C-BE32-E72D297353CC}">
                <c16:uniqueId val="{00000015-D000-4C3D-8DC0-5F9E389A45B5}"/>
              </c:ext>
            </c:extLst>
          </c:dPt>
          <c:dPt>
            <c:idx val="7"/>
            <c:invertIfNegative val="0"/>
            <c:bubble3D val="0"/>
            <c:extLst>
              <c:ext xmlns:c16="http://schemas.microsoft.com/office/drawing/2014/chart" uri="{C3380CC4-5D6E-409C-BE32-E72D297353CC}">
                <c16:uniqueId val="{00000016-D000-4C3D-8DC0-5F9E389A45B5}"/>
              </c:ext>
            </c:extLst>
          </c:dPt>
          <c:dPt>
            <c:idx val="8"/>
            <c:invertIfNegative val="0"/>
            <c:bubble3D val="0"/>
            <c:extLst>
              <c:ext xmlns:c16="http://schemas.microsoft.com/office/drawing/2014/chart" uri="{C3380CC4-5D6E-409C-BE32-E72D297353CC}">
                <c16:uniqueId val="{00000017-D000-4C3D-8DC0-5F9E389A45B5}"/>
              </c:ext>
            </c:extLst>
          </c:dPt>
          <c:dPt>
            <c:idx val="9"/>
            <c:invertIfNegative val="0"/>
            <c:bubble3D val="0"/>
            <c:extLst>
              <c:ext xmlns:c16="http://schemas.microsoft.com/office/drawing/2014/chart" uri="{C3380CC4-5D6E-409C-BE32-E72D297353CC}">
                <c16:uniqueId val="{00000018-D000-4C3D-8DC0-5F9E389A45B5}"/>
              </c:ext>
            </c:extLst>
          </c:dPt>
          <c:dLbls>
            <c:dLbl>
              <c:idx val="0"/>
              <c:layout>
                <c:manualLayout>
                  <c:x val="4.1666666666666567E-2"/>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000-4C3D-8DC0-5F9E389A45B5}"/>
                </c:ext>
              </c:extLst>
            </c:dLbl>
            <c:dLbl>
              <c:idx val="1"/>
              <c:layout>
                <c:manualLayout>
                  <c:x val="4.1666666666666664E-2"/>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000-4C3D-8DC0-5F9E389A45B5}"/>
                </c:ext>
              </c:extLst>
            </c:dLbl>
            <c:dLbl>
              <c:idx val="3"/>
              <c:layout>
                <c:manualLayout>
                  <c:x val="3.3333333333333333E-2"/>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000-4C3D-8DC0-5F9E389A45B5}"/>
                </c:ext>
              </c:extLst>
            </c:dLbl>
            <c:dLbl>
              <c:idx val="4"/>
              <c:layout>
                <c:manualLayout>
                  <c:x val="9.0090090090090089E-3"/>
                  <c:y val="-1.011633788568538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000-4C3D-8DC0-5F9E389A45B5}"/>
                </c:ext>
              </c:extLst>
            </c:dLbl>
            <c:dLbl>
              <c:idx val="6"/>
              <c:layout>
                <c:manualLayout>
                  <c:x val="1.5015015015014906E-2"/>
                  <c:y val="5.058168942842644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D000-4C3D-8DC0-5F9E389A45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Players'!$J$3:$J$10</c:f>
              <c:strCache>
                <c:ptCount val="7"/>
                <c:pt idx="0">
                  <c:v>AD Hales</c:v>
                </c:pt>
                <c:pt idx="1">
                  <c:v>MP Stoinis</c:v>
                </c:pt>
                <c:pt idx="2">
                  <c:v>JR Philippe</c:v>
                </c:pt>
                <c:pt idx="3">
                  <c:v>PD Salt</c:v>
                </c:pt>
                <c:pt idx="4">
                  <c:v>JP Inglis</c:v>
                </c:pt>
                <c:pt idx="5">
                  <c:v>LS Livingstone</c:v>
                </c:pt>
                <c:pt idx="6">
                  <c:v>JW Wells</c:v>
                </c:pt>
              </c:strCache>
            </c:strRef>
          </c:cat>
          <c:val>
            <c:numRef>
              <c:f>' Players'!$M$3:$M$10</c:f>
              <c:numCache>
                <c:formatCode>General</c:formatCode>
                <c:ptCount val="7"/>
                <c:pt idx="0">
                  <c:v>0</c:v>
                </c:pt>
                <c:pt idx="1">
                  <c:v>1</c:v>
                </c:pt>
                <c:pt idx="2">
                  <c:v>0</c:v>
                </c:pt>
                <c:pt idx="3">
                  <c:v>0</c:v>
                </c:pt>
                <c:pt idx="4">
                  <c:v>0</c:v>
                </c:pt>
                <c:pt idx="5">
                  <c:v>0</c:v>
                </c:pt>
                <c:pt idx="6">
                  <c:v>0</c:v>
                </c:pt>
              </c:numCache>
            </c:numRef>
          </c:val>
          <c:extLst>
            <c:ext xmlns:c16="http://schemas.microsoft.com/office/drawing/2014/chart" uri="{C3380CC4-5D6E-409C-BE32-E72D297353CC}">
              <c16:uniqueId val="{00000019-D000-4C3D-8DC0-5F9E389A45B5}"/>
            </c:ext>
          </c:extLst>
        </c:ser>
        <c:dLbls>
          <c:dLblPos val="ctr"/>
          <c:showLegendKey val="0"/>
          <c:showVal val="1"/>
          <c:showCatName val="0"/>
          <c:showSerName val="0"/>
          <c:showPercent val="0"/>
          <c:showBubbleSize val="0"/>
        </c:dLbls>
        <c:gapWidth val="68"/>
        <c:overlap val="100"/>
        <c:axId val="2068697984"/>
        <c:axId val="2068697024"/>
      </c:barChart>
      <c:catAx>
        <c:axId val="2068697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697024"/>
        <c:crosses val="autoZero"/>
        <c:auto val="1"/>
        <c:lblAlgn val="ctr"/>
        <c:lblOffset val="100"/>
        <c:noMultiLvlLbl val="0"/>
      </c:catAx>
      <c:valAx>
        <c:axId val="2068697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69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[BBL_2019-2020_Batting final.xlsx]TEAM!PivotTable5</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Player Contributions Across Teams</a:t>
            </a:r>
          </a:p>
        </c:rich>
      </c:tx>
      <c:layout>
        <c:manualLayout>
          <c:xMode val="edge"/>
          <c:yMode val="edge"/>
          <c:x val="0.20880555555555555"/>
          <c:y val="5.91644794400699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c:spPr>
      </c:pivotFmt>
      <c:pivotFmt>
        <c:idx val="2"/>
        <c:spPr>
          <a:solidFill>
            <a:schemeClr val="accent2"/>
          </a:solidFill>
          <a:ln>
            <a:noFill/>
          </a:ln>
          <a:effectLst>
            <a:outerShdw blurRad="57150" dist="19050" dir="5400000" algn="ctr" rotWithShape="0">
              <a:srgbClr val="000000">
                <a:alpha val="63000"/>
              </a:srgbClr>
            </a:outerShdw>
          </a:effectLst>
        </c:spPr>
      </c:pivotFmt>
      <c:pivotFmt>
        <c:idx val="3"/>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4"/>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5"/>
        <c:spPr>
          <a:solidFill>
            <a:schemeClr val="accent6">
              <a:lumMod val="75000"/>
            </a:schemeClr>
          </a:solidFill>
          <a:ln>
            <a:noFill/>
          </a:ln>
          <a:effectLst>
            <a:outerShdw blurRad="57150" dist="19050" dir="5400000" algn="ctr" rotWithShape="0">
              <a:srgbClr val="000000">
                <a:alpha val="63000"/>
              </a:srgbClr>
            </a:outerShdw>
          </a:effectLst>
        </c:spPr>
      </c:pivotFmt>
      <c:pivotFmt>
        <c:idx val="6"/>
        <c:spPr>
          <a:solidFill>
            <a:schemeClr val="accent6">
              <a:lumMod val="75000"/>
            </a:schemeClr>
          </a:solidFill>
          <a:ln>
            <a:noFill/>
          </a:ln>
          <a:effectLst>
            <a:outerShdw blurRad="57150" dist="19050" dir="5400000" algn="ctr" rotWithShape="0">
              <a:srgbClr val="000000">
                <a:alpha val="63000"/>
              </a:srgbClr>
            </a:outerShdw>
          </a:effectLst>
        </c:spPr>
      </c:pivotFmt>
      <c:pivotFmt>
        <c:idx val="7"/>
        <c:spPr>
          <a:solidFill>
            <a:schemeClr val="bg2">
              <a:lumMod val="50000"/>
            </a:schemeClr>
          </a:solidFill>
          <a:ln>
            <a:noFill/>
          </a:ln>
          <a:effectLst>
            <a:outerShdw blurRad="57150" dist="19050" dir="5400000" algn="ctr" rotWithShape="0">
              <a:srgbClr val="000000">
                <a:alpha val="63000"/>
              </a:srgbClr>
            </a:outerShdw>
          </a:effectLst>
        </c:spPr>
      </c:pivotFmt>
      <c:pivotFmt>
        <c:idx val="8"/>
        <c:spPr>
          <a:solidFill>
            <a:schemeClr val="bg2">
              <a:lumMod val="50000"/>
            </a:schemeClr>
          </a:soli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50000"/>
            </a:schemeClr>
          </a:solidFill>
          <a:ln>
            <a:noFill/>
          </a:ln>
          <a:effectLst>
            <a:outerShdw blurRad="57150" dist="19050" dir="5400000" algn="ctr" rotWithShape="0">
              <a:srgbClr val="000000">
                <a:alpha val="63000"/>
              </a:srgbClr>
            </a:outerShdw>
          </a:effectLst>
        </c:spPr>
      </c:pivotFmt>
      <c:pivotFmt>
        <c:idx val="11"/>
        <c:spPr>
          <a:solidFill>
            <a:schemeClr val="bg2">
              <a:lumMod val="50000"/>
            </a:schemeClr>
          </a:solidFill>
          <a:ln>
            <a:noFill/>
          </a:ln>
          <a:effectLst>
            <a:outerShdw blurRad="57150" dist="19050" dir="5400000" algn="ctr" rotWithShape="0">
              <a:srgbClr val="000000">
                <a:alpha val="63000"/>
              </a:srgbClr>
            </a:outerShdw>
          </a:effectLst>
        </c:spPr>
      </c:pivotFmt>
      <c:pivotFmt>
        <c:idx val="12"/>
        <c:spPr>
          <a:solidFill>
            <a:schemeClr val="accent6">
              <a:lumMod val="75000"/>
            </a:schemeClr>
          </a:solidFill>
          <a:ln>
            <a:noFill/>
          </a:ln>
          <a:effectLst>
            <a:outerShdw blurRad="57150" dist="19050" dir="5400000" algn="ctr" rotWithShape="0">
              <a:srgbClr val="000000">
                <a:alpha val="63000"/>
              </a:srgbClr>
            </a:outerShdw>
          </a:effectLst>
        </c:spPr>
      </c:pivotFmt>
      <c:pivotFmt>
        <c:idx val="13"/>
        <c:spPr>
          <a:solidFill>
            <a:schemeClr val="accent6">
              <a:lumMod val="75000"/>
            </a:schemeClr>
          </a:solidFill>
          <a:ln>
            <a:noFill/>
          </a:ln>
          <a:effectLst>
            <a:outerShdw blurRad="57150" dist="19050" dir="5400000" algn="ctr" rotWithShape="0">
              <a:srgbClr val="000000">
                <a:alpha val="63000"/>
              </a:srgbClr>
            </a:outerShdw>
          </a:effectLst>
        </c:spPr>
      </c:pivotFmt>
      <c:pivotFmt>
        <c:idx val="14"/>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15"/>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16"/>
        <c:spPr>
          <a:solidFill>
            <a:schemeClr val="accent2"/>
          </a:solidFill>
          <a:ln>
            <a:noFill/>
          </a:ln>
          <a:effectLst>
            <a:outerShdw blurRad="57150" dist="19050" dir="5400000" algn="ctr" rotWithShape="0">
              <a:srgbClr val="000000">
                <a:alpha val="63000"/>
              </a:srgbClr>
            </a:outerShdw>
          </a:effectLst>
        </c:spPr>
      </c:pivotFmt>
      <c:pivotFmt>
        <c:idx val="17"/>
        <c:spPr>
          <a:solidFill>
            <a:schemeClr val="accent2"/>
          </a:soli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lumMod val="50000"/>
            </a:schemeClr>
          </a:solidFill>
          <a:ln>
            <a:noFill/>
          </a:ln>
          <a:effectLst>
            <a:outerShdw blurRad="57150" dist="19050" dir="5400000" algn="ctr" rotWithShape="0">
              <a:srgbClr val="000000">
                <a:alpha val="63000"/>
              </a:srgbClr>
            </a:outerShdw>
          </a:effectLst>
        </c:spPr>
      </c:pivotFmt>
      <c:pivotFmt>
        <c:idx val="20"/>
        <c:spPr>
          <a:solidFill>
            <a:schemeClr val="bg2">
              <a:lumMod val="50000"/>
            </a:schemeClr>
          </a:solidFill>
          <a:ln>
            <a:noFill/>
          </a:ln>
          <a:effectLst>
            <a:outerShdw blurRad="57150" dist="19050" dir="5400000" algn="ctr" rotWithShape="0">
              <a:srgbClr val="000000">
                <a:alpha val="63000"/>
              </a:srgbClr>
            </a:outerShdw>
          </a:effectLst>
        </c:spPr>
      </c:pivotFmt>
      <c:pivotFmt>
        <c:idx val="21"/>
        <c:spPr>
          <a:solidFill>
            <a:schemeClr val="accent6">
              <a:lumMod val="75000"/>
            </a:schemeClr>
          </a:solidFill>
          <a:ln>
            <a:noFill/>
          </a:ln>
          <a:effectLst>
            <a:outerShdw blurRad="57150" dist="19050" dir="5400000" algn="ctr" rotWithShape="0">
              <a:srgbClr val="000000">
                <a:alpha val="63000"/>
              </a:srgbClr>
            </a:outerShdw>
          </a:effectLst>
        </c:spPr>
      </c:pivotFmt>
      <c:pivotFmt>
        <c:idx val="22"/>
        <c:spPr>
          <a:solidFill>
            <a:schemeClr val="accent6">
              <a:lumMod val="75000"/>
            </a:schemeClr>
          </a:solidFill>
          <a:ln>
            <a:noFill/>
          </a:ln>
          <a:effectLst>
            <a:outerShdw blurRad="57150" dist="19050" dir="5400000" algn="ctr" rotWithShape="0">
              <a:srgbClr val="000000">
                <a:alpha val="63000"/>
              </a:srgbClr>
            </a:outerShdw>
          </a:effectLst>
        </c:spPr>
      </c:pivotFmt>
      <c:pivotFmt>
        <c:idx val="23"/>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24"/>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25"/>
        <c:spPr>
          <a:solidFill>
            <a:schemeClr val="accent2"/>
          </a:solidFill>
          <a:ln>
            <a:noFill/>
          </a:ln>
          <a:effectLst>
            <a:outerShdw blurRad="57150" dist="19050" dir="5400000" algn="ctr" rotWithShape="0">
              <a:srgbClr val="000000">
                <a:alpha val="63000"/>
              </a:srgbClr>
            </a:outerShdw>
          </a:effectLst>
        </c:spPr>
      </c:pivotFmt>
      <c:pivotFmt>
        <c:idx val="26"/>
        <c:spPr>
          <a:solidFill>
            <a:schemeClr val="accent2"/>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758576115485564"/>
          <c:y val="0.21902559055118109"/>
          <c:w val="0.34673884514435693"/>
          <c:h val="0.67820465150189557"/>
        </c:manualLayout>
      </c:layout>
      <c:barChart>
        <c:barDir val="bar"/>
        <c:grouping val="clustered"/>
        <c:varyColors val="0"/>
        <c:ser>
          <c:idx val="0"/>
          <c:order val="0"/>
          <c:tx>
            <c:strRef>
              <c:f>TEAM!$J$2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bg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F08-4D25-A6A5-8F386EC3EE70}"/>
              </c:ext>
            </c:extLst>
          </c:dPt>
          <c:dPt>
            <c:idx val="1"/>
            <c:invertIfNegative val="0"/>
            <c:bubble3D val="0"/>
            <c:spPr>
              <a:solidFill>
                <a:schemeClr val="bg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F08-4D25-A6A5-8F386EC3EE70}"/>
              </c:ext>
            </c:extLst>
          </c:dPt>
          <c:dPt>
            <c:idx val="2"/>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F08-4D25-A6A5-8F386EC3EE70}"/>
              </c:ext>
            </c:extLst>
          </c:dPt>
          <c:dPt>
            <c:idx val="3"/>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F08-4D25-A6A5-8F386EC3EE70}"/>
              </c:ext>
            </c:extLst>
          </c:dPt>
          <c:dPt>
            <c:idx val="4"/>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F08-4D25-A6A5-8F386EC3EE70}"/>
              </c:ext>
            </c:extLst>
          </c:dPt>
          <c:dPt>
            <c:idx val="5"/>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F08-4D25-A6A5-8F386EC3EE70}"/>
              </c:ext>
            </c:extLst>
          </c:dPt>
          <c:dPt>
            <c:idx val="6"/>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F08-4D25-A6A5-8F386EC3EE70}"/>
              </c:ext>
            </c:extLst>
          </c:dPt>
          <c:dPt>
            <c:idx val="7"/>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EF08-4D25-A6A5-8F386EC3EE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ln>
              <a:effectLst/>
            </c:spPr>
            <c:trendlineType val="linear"/>
            <c:dispRSqr val="0"/>
            <c:dispEq val="0"/>
          </c:trendline>
          <c:cat>
            <c:multiLvlStrRef>
              <c:f>TEAM!$I$3:$I$18</c:f>
              <c:multiLvlStrCache>
                <c:ptCount val="10"/>
                <c:lvl>
                  <c:pt idx="0">
                    <c:v>DJM Short</c:v>
                  </c:pt>
                  <c:pt idx="1">
                    <c:v>LS Livingstone</c:v>
                  </c:pt>
                  <c:pt idx="2">
                    <c:v>NCR Larkin</c:v>
                  </c:pt>
                  <c:pt idx="3">
                    <c:v>JR Philippe</c:v>
                  </c:pt>
                  <c:pt idx="4">
                    <c:v>J Weatherald</c:v>
                  </c:pt>
                  <c:pt idx="5">
                    <c:v>SE Marsh</c:v>
                  </c:pt>
                  <c:pt idx="6">
                    <c:v>JW Wells</c:v>
                  </c:pt>
                  <c:pt idx="7">
                    <c:v>AD Hales</c:v>
                  </c:pt>
                  <c:pt idx="8">
                    <c:v>AT Carey</c:v>
                  </c:pt>
                  <c:pt idx="9">
                    <c:v>MP Stoinis</c:v>
                  </c:pt>
                </c:lvl>
                <c:lvl>
                  <c:pt idx="0">
                    <c:v>Scorchers</c:v>
                  </c:pt>
                  <c:pt idx="2">
                    <c:v>Renegades</c:v>
                  </c:pt>
                  <c:pt idx="4">
                    <c:v>Heat</c:v>
                  </c:pt>
                  <c:pt idx="6">
                    <c:v>Hurricanes</c:v>
                  </c:pt>
                  <c:pt idx="8">
                    <c:v>Stars</c:v>
                  </c:pt>
                </c:lvl>
              </c:multiLvlStrCache>
            </c:multiLvlStrRef>
          </c:cat>
          <c:val>
            <c:numRef>
              <c:f>TEAM!$J$3:$J$18</c:f>
              <c:numCache>
                <c:formatCode>General</c:formatCode>
                <c:ptCount val="10"/>
                <c:pt idx="0">
                  <c:v>357</c:v>
                </c:pt>
                <c:pt idx="1">
                  <c:v>425</c:v>
                </c:pt>
                <c:pt idx="2">
                  <c:v>297</c:v>
                </c:pt>
                <c:pt idx="3">
                  <c:v>487</c:v>
                </c:pt>
                <c:pt idx="4">
                  <c:v>407</c:v>
                </c:pt>
                <c:pt idx="5">
                  <c:v>449</c:v>
                </c:pt>
                <c:pt idx="6">
                  <c:v>478</c:v>
                </c:pt>
                <c:pt idx="7">
                  <c:v>576</c:v>
                </c:pt>
                <c:pt idx="8">
                  <c:v>391</c:v>
                </c:pt>
                <c:pt idx="9">
                  <c:v>705</c:v>
                </c:pt>
              </c:numCache>
            </c:numRef>
          </c:val>
          <c:extLst>
            <c:ext xmlns:c16="http://schemas.microsoft.com/office/drawing/2014/chart" uri="{C3380CC4-5D6E-409C-BE32-E72D297353CC}">
              <c16:uniqueId val="{00000011-EF08-4D25-A6A5-8F386EC3EE70}"/>
            </c:ext>
          </c:extLst>
        </c:ser>
        <c:dLbls>
          <c:dLblPos val="outEnd"/>
          <c:showLegendKey val="0"/>
          <c:showVal val="1"/>
          <c:showCatName val="0"/>
          <c:showSerName val="0"/>
          <c:showPercent val="0"/>
          <c:showBubbleSize val="0"/>
        </c:dLbls>
        <c:gapWidth val="115"/>
        <c:overlap val="-20"/>
        <c:axId val="1057102192"/>
        <c:axId val="1057103152"/>
      </c:barChart>
      <c:catAx>
        <c:axId val="10571021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103152"/>
        <c:crosses val="autoZero"/>
        <c:auto val="1"/>
        <c:lblAlgn val="ctr"/>
        <c:lblOffset val="100"/>
        <c:noMultiLvlLbl val="0"/>
      </c:catAx>
      <c:valAx>
        <c:axId val="1057103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10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[BBL_2019-2020_Batting final.xlsx]Team !PivotTable7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Team-wise Distribution of Half-Centuries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cene3d>
            <a:camera prst="orthographicFront"/>
            <a:lightRig rig="harsh" dir="t">
              <a:rot lat="0" lon="0" rev="3000000"/>
            </a:lightRig>
          </a:scene3d>
          <a:sp3d>
            <a:bevelT w="82550" h="44450" prst="angle"/>
            <a:bevelB w="82550" h="44450" prst="angle"/>
            <a:contourClr>
              <a:srgbClr val="000000"/>
            </a:contourClr>
          </a:sp3d>
        </c:spPr>
      </c:pivotFmt>
      <c:pivotFmt>
        <c:idx val="2"/>
        <c:spPr>
          <a:solidFill>
            <a:schemeClr val="accent1"/>
          </a:solidFill>
          <a:ln w="19050">
            <a:solidFill>
              <a:schemeClr val="lt1"/>
            </a:solidFill>
          </a:ln>
          <a:effectLst/>
          <a:scene3d>
            <a:camera prst="orthographicFront"/>
            <a:lightRig rig="threePt" dir="t"/>
          </a:scene3d>
          <a:sp3d>
            <a:bevelT w="190500" h="38100"/>
          </a:sp3d>
        </c:spPr>
      </c:pivotFmt>
      <c:pivotFmt>
        <c:idx val="3"/>
        <c:spPr>
          <a:solidFill>
            <a:schemeClr val="accent1"/>
          </a:solidFill>
          <a:ln w="19050">
            <a:solidFill>
              <a:schemeClr val="lt1"/>
            </a:solidFill>
          </a:ln>
          <a:effectLst/>
          <a:scene3d>
            <a:camera prst="orthographicFront"/>
            <a:lightRig rig="threePt" dir="t"/>
          </a:scene3d>
          <a:sp3d>
            <a:bevelT w="190500" h="38100"/>
          </a:sp3d>
        </c:spPr>
      </c:pivotFmt>
      <c:pivotFmt>
        <c:idx val="4"/>
        <c:spPr>
          <a:solidFill>
            <a:schemeClr val="accent1"/>
          </a:solidFill>
          <a:ln w="19050">
            <a:solidFill>
              <a:schemeClr val="lt1"/>
            </a:solidFill>
          </a:ln>
          <a:effectLst/>
          <a:scene3d>
            <a:camera prst="orthographicFront"/>
            <a:lightRig rig="threePt" dir="t"/>
          </a:scene3d>
          <a:sp3d>
            <a:bevelT w="190500" h="38100"/>
          </a:sp3d>
        </c:spPr>
      </c:pivotFmt>
      <c:pivotFmt>
        <c:idx val="5"/>
        <c:spPr>
          <a:solidFill>
            <a:schemeClr val="accent1"/>
          </a:solidFill>
          <a:ln w="19050">
            <a:solidFill>
              <a:schemeClr val="lt1"/>
            </a:solidFill>
          </a:ln>
          <a:effectLst/>
          <a:scene3d>
            <a:camera prst="orthographicFront"/>
            <a:lightRig rig="threePt" dir="t"/>
          </a:scene3d>
          <a:sp3d>
            <a:bevelT w="190500" h="38100"/>
          </a:sp3d>
        </c:spPr>
      </c:pivotFmt>
      <c:pivotFmt>
        <c:idx val="6"/>
        <c:spPr>
          <a:solidFill>
            <a:schemeClr val="accent1"/>
          </a:solidFill>
          <a:ln w="19050">
            <a:solidFill>
              <a:schemeClr val="lt1"/>
            </a:solidFill>
          </a:ln>
          <a:effectLst/>
          <a:scene3d>
            <a:camera prst="orthographicFront"/>
            <a:lightRig rig="threePt" dir="t"/>
          </a:scene3d>
          <a:sp3d>
            <a:bevelT w="190500" h="38100"/>
          </a:sp3d>
        </c:spPr>
      </c:pivotFmt>
      <c:pivotFmt>
        <c:idx val="7"/>
        <c:spPr>
          <a:solidFill>
            <a:schemeClr val="accent1"/>
          </a:solidFill>
          <a:ln w="19050">
            <a:solidFill>
              <a:schemeClr val="lt1"/>
            </a:solidFill>
          </a:ln>
          <a:effectLst/>
          <a:scene3d>
            <a:camera prst="orthographicFront"/>
            <a:lightRig rig="threePt" dir="t"/>
          </a:scene3d>
          <a:sp3d>
            <a:bevelT w="190500" h="38100"/>
          </a:sp3d>
        </c:spPr>
      </c:pivotFmt>
      <c:pivotFmt>
        <c:idx val="8"/>
        <c:spPr>
          <a:solidFill>
            <a:schemeClr val="accent1"/>
          </a:solidFill>
          <a:ln w="19050">
            <a:solidFill>
              <a:schemeClr val="lt1"/>
            </a:solidFill>
          </a:ln>
          <a:effectLst/>
          <a:scene3d>
            <a:camera prst="orthographicFront"/>
            <a:lightRig rig="threePt" dir="t"/>
          </a:scene3d>
          <a:sp3d>
            <a:bevelT w="190500" h="38100"/>
          </a:sp3d>
        </c:spPr>
      </c:pivotFmt>
      <c:pivotFmt>
        <c:idx val="9"/>
        <c:spPr>
          <a:solidFill>
            <a:schemeClr val="accent1"/>
          </a:solidFill>
          <a:ln w="19050">
            <a:solidFill>
              <a:schemeClr val="lt1"/>
            </a:solidFill>
          </a:ln>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a:scene3d>
            <a:camera prst="orthographicFront"/>
            <a:lightRig rig="harsh" dir="t">
              <a:rot lat="0" lon="0" rev="3000000"/>
            </a:lightRig>
          </a:scene3d>
          <a:sp3d>
            <a:bevelT w="82550" h="44450" prst="angle"/>
            <a:bevelB w="82550" h="44450" prst="angle"/>
            <a:contourClr>
              <a:srgbClr val="000000"/>
            </a:contourClr>
          </a:sp3d>
        </c:spPr>
      </c:pivotFmt>
      <c:pivotFmt>
        <c:idx val="11"/>
        <c:spPr>
          <a:solidFill>
            <a:schemeClr val="accent1"/>
          </a:solidFill>
          <a:ln w="19050">
            <a:solidFill>
              <a:schemeClr val="lt1"/>
            </a:solidFill>
          </a:ln>
          <a:effectLst/>
          <a:scene3d>
            <a:camera prst="orthographicFront"/>
            <a:lightRig rig="threePt" dir="t"/>
          </a:scene3d>
          <a:sp3d>
            <a:bevelT w="190500" h="38100"/>
          </a:sp3d>
        </c:spPr>
      </c:pivotFmt>
      <c:pivotFmt>
        <c:idx val="12"/>
        <c:spPr>
          <a:solidFill>
            <a:schemeClr val="accent1"/>
          </a:solidFill>
          <a:ln w="19050">
            <a:solidFill>
              <a:schemeClr val="lt1"/>
            </a:solidFill>
          </a:ln>
          <a:effectLst/>
          <a:scene3d>
            <a:camera prst="orthographicFront"/>
            <a:lightRig rig="threePt" dir="t"/>
          </a:scene3d>
          <a:sp3d>
            <a:bevelT w="190500" h="38100"/>
          </a:sp3d>
        </c:spPr>
      </c:pivotFmt>
      <c:pivotFmt>
        <c:idx val="13"/>
        <c:spPr>
          <a:solidFill>
            <a:schemeClr val="accent1"/>
          </a:solidFill>
          <a:ln w="19050">
            <a:solidFill>
              <a:schemeClr val="lt1"/>
            </a:solidFill>
          </a:ln>
          <a:effectLst/>
          <a:scene3d>
            <a:camera prst="orthographicFront"/>
            <a:lightRig rig="threePt" dir="t"/>
          </a:scene3d>
          <a:sp3d>
            <a:bevelT w="190500" h="38100"/>
          </a:sp3d>
        </c:spPr>
      </c:pivotFmt>
      <c:pivotFmt>
        <c:idx val="14"/>
        <c:spPr>
          <a:solidFill>
            <a:schemeClr val="accent1"/>
          </a:solidFill>
          <a:ln w="19050">
            <a:solidFill>
              <a:schemeClr val="lt1"/>
            </a:solidFill>
          </a:ln>
          <a:effectLst/>
          <a:scene3d>
            <a:camera prst="orthographicFront"/>
            <a:lightRig rig="threePt" dir="t"/>
          </a:scene3d>
          <a:sp3d>
            <a:bevelT w="190500" h="38100"/>
          </a:sp3d>
        </c:spPr>
      </c:pivotFmt>
      <c:pivotFmt>
        <c:idx val="15"/>
        <c:spPr>
          <a:solidFill>
            <a:schemeClr val="accent1"/>
          </a:solidFill>
          <a:ln w="19050">
            <a:solidFill>
              <a:schemeClr val="lt1"/>
            </a:solidFill>
          </a:ln>
          <a:effectLst/>
          <a:scene3d>
            <a:camera prst="orthographicFront"/>
            <a:lightRig rig="threePt" dir="t"/>
          </a:scene3d>
          <a:sp3d>
            <a:bevelT w="190500" h="38100"/>
          </a:sp3d>
        </c:spPr>
      </c:pivotFmt>
      <c:pivotFmt>
        <c:idx val="16"/>
        <c:spPr>
          <a:solidFill>
            <a:schemeClr val="accent1"/>
          </a:solidFill>
          <a:ln w="19050">
            <a:solidFill>
              <a:schemeClr val="lt1"/>
            </a:solidFill>
          </a:ln>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a:scene3d>
            <a:camera prst="orthographicFront"/>
            <a:lightRig rig="harsh" dir="t">
              <a:rot lat="0" lon="0" rev="3000000"/>
            </a:lightRig>
          </a:scene3d>
          <a:sp3d>
            <a:bevelT w="82550" h="44450" prst="angle"/>
            <a:bevelB w="82550" h="44450" prst="angle"/>
            <a:contourClr>
              <a:srgbClr val="000000"/>
            </a:contourClr>
          </a:sp3d>
        </c:spPr>
      </c:pivotFmt>
      <c:pivotFmt>
        <c:idx val="18"/>
        <c:spPr>
          <a:solidFill>
            <a:schemeClr val="accent1"/>
          </a:solidFill>
          <a:ln w="19050">
            <a:solidFill>
              <a:schemeClr val="lt1"/>
            </a:solidFill>
          </a:ln>
          <a:effectLst/>
          <a:scene3d>
            <a:camera prst="orthographicFront"/>
            <a:lightRig rig="threePt" dir="t"/>
          </a:scene3d>
          <a:sp3d>
            <a:bevelT w="190500" h="38100"/>
          </a:sp3d>
        </c:spPr>
      </c:pivotFmt>
      <c:pivotFmt>
        <c:idx val="19"/>
        <c:spPr>
          <a:solidFill>
            <a:schemeClr val="accent1"/>
          </a:solidFill>
          <a:ln w="19050">
            <a:solidFill>
              <a:schemeClr val="lt1"/>
            </a:solidFill>
          </a:ln>
          <a:effectLst/>
          <a:scene3d>
            <a:camera prst="orthographicFront"/>
            <a:lightRig rig="threePt" dir="t"/>
          </a:scene3d>
          <a:sp3d>
            <a:bevelT w="190500" h="38100"/>
          </a:sp3d>
        </c:spPr>
      </c:pivotFmt>
      <c:pivotFmt>
        <c:idx val="20"/>
        <c:spPr>
          <a:solidFill>
            <a:schemeClr val="accent1"/>
          </a:solidFill>
          <a:ln w="19050">
            <a:solidFill>
              <a:schemeClr val="lt1"/>
            </a:solidFill>
          </a:ln>
          <a:effectLst/>
          <a:scene3d>
            <a:camera prst="orthographicFront"/>
            <a:lightRig rig="threePt" dir="t"/>
          </a:scene3d>
          <a:sp3d>
            <a:bevelT w="190500" h="38100"/>
          </a:sp3d>
        </c:spPr>
      </c:pivotFmt>
      <c:pivotFmt>
        <c:idx val="21"/>
        <c:spPr>
          <a:solidFill>
            <a:schemeClr val="accent1"/>
          </a:solidFill>
          <a:ln w="19050">
            <a:solidFill>
              <a:schemeClr val="lt1"/>
            </a:solidFill>
          </a:ln>
          <a:effectLst/>
          <a:scene3d>
            <a:camera prst="orthographicFront"/>
            <a:lightRig rig="threePt" dir="t"/>
          </a:scene3d>
          <a:sp3d>
            <a:bevelT w="190500" h="38100"/>
          </a:sp3d>
        </c:spPr>
      </c:pivotFmt>
      <c:pivotFmt>
        <c:idx val="22"/>
        <c:spPr>
          <a:solidFill>
            <a:schemeClr val="accent1"/>
          </a:solidFill>
          <a:ln w="19050">
            <a:solidFill>
              <a:schemeClr val="lt1"/>
            </a:solidFill>
          </a:ln>
          <a:effectLst/>
          <a:scene3d>
            <a:camera prst="orthographicFront"/>
            <a:lightRig rig="threePt" dir="t"/>
          </a:scene3d>
          <a:sp3d>
            <a:bevelT w="190500" h="38100"/>
          </a:sp3d>
        </c:spPr>
      </c:pivotFmt>
    </c:pivotFmts>
    <c:plotArea>
      <c:layout/>
      <c:pieChart>
        <c:varyColors val="1"/>
        <c:ser>
          <c:idx val="0"/>
          <c:order val="0"/>
          <c:tx>
            <c:strRef>
              <c:f>'Team '!$K$2</c:f>
              <c:strCache>
                <c:ptCount val="1"/>
                <c:pt idx="0">
                  <c:v>Total</c:v>
                </c:pt>
              </c:strCache>
            </c:strRef>
          </c:tx>
          <c:spPr>
            <a:scene3d>
              <a:camera prst="orthographicFront"/>
              <a:lightRig rig="threePt" dir="t"/>
            </a:scene3d>
            <a:sp3d>
              <a:bevelT w="190500" h="38100"/>
            </a:sp3d>
          </c:spPr>
          <c:dPt>
            <c:idx val="0"/>
            <c:bubble3D val="0"/>
            <c:spPr>
              <a:solidFill>
                <a:schemeClr val="accent1"/>
              </a:solidFill>
              <a:ln w="19050">
                <a:solidFill>
                  <a:schemeClr val="lt1"/>
                </a:solidFill>
              </a:ln>
              <a:effectLst/>
              <a:scene3d>
                <a:camera prst="orthographicFront"/>
                <a:lightRig rig="harsh" dir="t">
                  <a:rot lat="0" lon="0" rev="3000000"/>
                </a:lightRig>
              </a:scene3d>
              <a:sp3d>
                <a:bevelT w="82550" h="44450" prst="angle"/>
                <a:bevelB w="82550" h="44450" prst="angle"/>
                <a:contourClr>
                  <a:srgbClr val="000000"/>
                </a:contourClr>
              </a:sp3d>
            </c:spPr>
            <c:extLst>
              <c:ext xmlns:c16="http://schemas.microsoft.com/office/drawing/2014/chart" uri="{C3380CC4-5D6E-409C-BE32-E72D297353CC}">
                <c16:uniqueId val="{00000001-C760-407E-BB2B-236163B81681}"/>
              </c:ext>
            </c:extLst>
          </c:dPt>
          <c:dPt>
            <c:idx val="1"/>
            <c:bubble3D val="0"/>
            <c:spPr>
              <a:solidFill>
                <a:schemeClr val="accent2"/>
              </a:solidFill>
              <a:ln w="19050">
                <a:solidFill>
                  <a:schemeClr val="lt1"/>
                </a:solidFill>
              </a:ln>
              <a:effectLst/>
              <a:scene3d>
                <a:camera prst="orthographicFront"/>
                <a:lightRig rig="threePt" dir="t"/>
              </a:scene3d>
              <a:sp3d>
                <a:bevelT w="190500" h="38100"/>
              </a:sp3d>
            </c:spPr>
            <c:extLst>
              <c:ext xmlns:c16="http://schemas.microsoft.com/office/drawing/2014/chart" uri="{C3380CC4-5D6E-409C-BE32-E72D297353CC}">
                <c16:uniqueId val="{00000003-C760-407E-BB2B-236163B81681}"/>
              </c:ext>
            </c:extLst>
          </c:dPt>
          <c:dPt>
            <c:idx val="2"/>
            <c:bubble3D val="0"/>
            <c:spPr>
              <a:solidFill>
                <a:schemeClr val="accent3"/>
              </a:solidFill>
              <a:ln w="19050">
                <a:solidFill>
                  <a:schemeClr val="lt1"/>
                </a:solidFill>
              </a:ln>
              <a:effectLst/>
              <a:scene3d>
                <a:camera prst="orthographicFront"/>
                <a:lightRig rig="threePt" dir="t"/>
              </a:scene3d>
              <a:sp3d>
                <a:bevelT w="190500" h="38100"/>
              </a:sp3d>
            </c:spPr>
            <c:extLst>
              <c:ext xmlns:c16="http://schemas.microsoft.com/office/drawing/2014/chart" uri="{C3380CC4-5D6E-409C-BE32-E72D297353CC}">
                <c16:uniqueId val="{00000005-C760-407E-BB2B-236163B81681}"/>
              </c:ext>
            </c:extLst>
          </c:dPt>
          <c:dPt>
            <c:idx val="3"/>
            <c:bubble3D val="0"/>
            <c:spPr>
              <a:solidFill>
                <a:schemeClr val="accent4"/>
              </a:solidFill>
              <a:ln w="19050">
                <a:solidFill>
                  <a:schemeClr val="lt1"/>
                </a:solidFill>
              </a:ln>
              <a:effectLst/>
              <a:scene3d>
                <a:camera prst="orthographicFront"/>
                <a:lightRig rig="threePt" dir="t"/>
              </a:scene3d>
              <a:sp3d>
                <a:bevelT w="190500" h="38100"/>
              </a:sp3d>
            </c:spPr>
            <c:extLst>
              <c:ext xmlns:c16="http://schemas.microsoft.com/office/drawing/2014/chart" uri="{C3380CC4-5D6E-409C-BE32-E72D297353CC}">
                <c16:uniqueId val="{00000007-C760-407E-BB2B-236163B81681}"/>
              </c:ext>
            </c:extLst>
          </c:dPt>
          <c:dPt>
            <c:idx val="4"/>
            <c:bubble3D val="0"/>
            <c:spPr>
              <a:solidFill>
                <a:schemeClr val="accent5"/>
              </a:solidFill>
              <a:ln w="19050">
                <a:solidFill>
                  <a:schemeClr val="lt1"/>
                </a:solidFill>
              </a:ln>
              <a:effectLst/>
              <a:scene3d>
                <a:camera prst="orthographicFront"/>
                <a:lightRig rig="threePt" dir="t"/>
              </a:scene3d>
              <a:sp3d>
                <a:bevelT w="190500" h="38100"/>
              </a:sp3d>
            </c:spPr>
            <c:extLst>
              <c:ext xmlns:c16="http://schemas.microsoft.com/office/drawing/2014/chart" uri="{C3380CC4-5D6E-409C-BE32-E72D297353CC}">
                <c16:uniqueId val="{00000009-C760-407E-BB2B-236163B81681}"/>
              </c:ext>
            </c:extLst>
          </c:dPt>
          <c:dPt>
            <c:idx val="5"/>
            <c:bubble3D val="0"/>
            <c:spPr>
              <a:solidFill>
                <a:schemeClr val="accent6"/>
              </a:solidFill>
              <a:ln w="19050">
                <a:solidFill>
                  <a:schemeClr val="lt1"/>
                </a:solidFill>
              </a:ln>
              <a:effectLst/>
              <a:scene3d>
                <a:camera prst="orthographicFront"/>
                <a:lightRig rig="threePt" dir="t"/>
              </a:scene3d>
              <a:sp3d>
                <a:bevelT w="190500" h="38100"/>
              </a:sp3d>
            </c:spPr>
            <c:extLst>
              <c:ext xmlns:c16="http://schemas.microsoft.com/office/drawing/2014/chart" uri="{C3380CC4-5D6E-409C-BE32-E72D297353CC}">
                <c16:uniqueId val="{0000000B-C760-407E-BB2B-236163B81681}"/>
              </c:ext>
            </c:extLst>
          </c:dPt>
          <c:dPt>
            <c:idx val="6"/>
            <c:bubble3D val="0"/>
            <c:spPr>
              <a:solidFill>
                <a:schemeClr val="accent1">
                  <a:lumMod val="60000"/>
                </a:schemeClr>
              </a:solidFill>
              <a:ln w="19050">
                <a:solidFill>
                  <a:schemeClr val="lt1"/>
                </a:solidFill>
              </a:ln>
              <a:effectLst/>
              <a:scene3d>
                <a:camera prst="orthographicFront"/>
                <a:lightRig rig="threePt" dir="t"/>
              </a:scene3d>
              <a:sp3d>
                <a:bevelT w="190500" h="38100"/>
              </a:sp3d>
            </c:spPr>
            <c:extLst>
              <c:ext xmlns:c16="http://schemas.microsoft.com/office/drawing/2014/chart" uri="{C3380CC4-5D6E-409C-BE32-E72D297353CC}">
                <c16:uniqueId val="{0000000D-C760-407E-BB2B-236163B81681}"/>
              </c:ext>
            </c:extLst>
          </c:dPt>
          <c:dPt>
            <c:idx val="7"/>
            <c:bubble3D val="0"/>
            <c:spPr>
              <a:solidFill>
                <a:schemeClr val="accent2">
                  <a:lumMod val="60000"/>
                </a:schemeClr>
              </a:solidFill>
              <a:ln w="19050">
                <a:solidFill>
                  <a:schemeClr val="lt1"/>
                </a:solidFill>
              </a:ln>
              <a:effectLst/>
              <a:scene3d>
                <a:camera prst="orthographicFront"/>
                <a:lightRig rig="threePt" dir="t"/>
              </a:scene3d>
              <a:sp3d>
                <a:bevelT w="190500" h="38100"/>
              </a:sp3d>
            </c:spPr>
            <c:extLst>
              <c:ext xmlns:c16="http://schemas.microsoft.com/office/drawing/2014/chart" uri="{C3380CC4-5D6E-409C-BE32-E72D297353CC}">
                <c16:uniqueId val="{0000000F-C760-407E-BB2B-236163B816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'Team '!$J$3:$J$9</c:f>
              <c:strCache>
                <c:ptCount val="6"/>
                <c:pt idx="0">
                  <c:v>Stars</c:v>
                </c:pt>
                <c:pt idx="1">
                  <c:v>Hurricanes</c:v>
                </c:pt>
                <c:pt idx="2">
                  <c:v>Scorchers</c:v>
                </c:pt>
                <c:pt idx="3">
                  <c:v>Renegades</c:v>
                </c:pt>
                <c:pt idx="4">
                  <c:v>Thunder</c:v>
                </c:pt>
                <c:pt idx="5">
                  <c:v>Strikers</c:v>
                </c:pt>
              </c:strCache>
            </c:strRef>
          </c:cat>
          <c:val>
            <c:numRef>
              <c:f>'Team '!$K$3:$K$9</c:f>
              <c:numCache>
                <c:formatCode>General</c:formatCode>
                <c:ptCount val="6"/>
                <c:pt idx="0">
                  <c:v>24</c:v>
                </c:pt>
                <c:pt idx="1">
                  <c:v>16</c:v>
                </c:pt>
                <c:pt idx="2">
                  <c:v>14</c:v>
                </c:pt>
                <c:pt idx="3">
                  <c:v>9</c:v>
                </c:pt>
                <c:pt idx="4">
                  <c:v>8</c:v>
                </c:pt>
                <c:pt idx="5">
                  <c:v>8</c:v>
                </c:pt>
              </c:numCache>
            </c:numRef>
          </c:val>
          <c:extLst>
            <c:ext xmlns:c16="http://schemas.microsoft.com/office/drawing/2014/chart" uri="{C3380CC4-5D6E-409C-BE32-E72D297353CC}">
              <c16:uniqueId val="{00000010-C760-407E-BB2B-236163B81681}"/>
            </c:ext>
          </c:extLst>
        </c:ser>
        <c:dLbls>
          <c:showLegendKey val="0"/>
          <c:showVal val="0"/>
          <c:showCatName val="0"/>
          <c:showSerName val="0"/>
          <c:showPercent val="0"/>
          <c:showBubbleSize val="0"/>
          <c:showLeaderLines val="1"/>
        </c:dLbls>
        <c:firstSliceAng val="325"/>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Boundry hitting contribution by players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Sum of Total Runs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solidFill>
                <a:schemeClr val="accent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8F0-4CA3-80D3-8E48CB3A3EA0}"/>
              </c:ext>
            </c:extLst>
          </c:dPt>
          <c:dPt>
            <c:idx val="2"/>
            <c:invertIfNegative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8F0-4CA3-80D3-8E48CB3A3EA0}"/>
              </c:ext>
            </c:extLst>
          </c:dPt>
          <c:dPt>
            <c:idx val="3"/>
            <c:invertIfNegative val="0"/>
            <c:bubble3D val="0"/>
            <c:spPr>
              <a:solidFill>
                <a:schemeClr val="accent3">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8F0-4CA3-80D3-8E48CB3A3EA0}"/>
              </c:ext>
            </c:extLst>
          </c:dPt>
          <c:dPt>
            <c:idx val="4"/>
            <c:invertIfNegative val="0"/>
            <c:bubble3D val="0"/>
            <c:spPr>
              <a:solidFill>
                <a:schemeClr val="accent4">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8F0-4CA3-80D3-8E48CB3A3E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T Banton</c:v>
              </c:pt>
              <c:pt idx="1">
                <c:v>M Bryant</c:v>
              </c:pt>
              <c:pt idx="2">
                <c:v>CA Lynn</c:v>
              </c:pt>
              <c:pt idx="3">
                <c:v>Rashid Khan</c:v>
              </c:pt>
              <c:pt idx="4">
                <c:v>PD Salt</c:v>
              </c:pt>
            </c:strLit>
          </c:cat>
          <c:val>
            <c:numLit>
              <c:formatCode>General</c:formatCode>
              <c:ptCount val="5"/>
              <c:pt idx="0">
                <c:v>223</c:v>
              </c:pt>
              <c:pt idx="1">
                <c:v>145</c:v>
              </c:pt>
              <c:pt idx="2">
                <c:v>387</c:v>
              </c:pt>
              <c:pt idx="3">
                <c:v>124</c:v>
              </c:pt>
              <c:pt idx="4">
                <c:v>361</c:v>
              </c:pt>
            </c:numLit>
          </c:val>
          <c:extLst>
            <c:ext xmlns:c16="http://schemas.microsoft.com/office/drawing/2014/chart" uri="{C3380CC4-5D6E-409C-BE32-E72D297353CC}">
              <c16:uniqueId val="{00000008-58F0-4CA3-80D3-8E48CB3A3EA0}"/>
            </c:ext>
          </c:extLst>
        </c:ser>
        <c:ser>
          <c:idx val="1"/>
          <c:order val="1"/>
          <c:tx>
            <c:v>Average of Boundries%</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T Banton</c:v>
              </c:pt>
              <c:pt idx="1">
                <c:v>M Bryant</c:v>
              </c:pt>
              <c:pt idx="2">
                <c:v>CA Lynn</c:v>
              </c:pt>
              <c:pt idx="3">
                <c:v>Rashid Khan</c:v>
              </c:pt>
              <c:pt idx="4">
                <c:v>PD Salt</c:v>
              </c:pt>
            </c:strLit>
          </c:cat>
          <c:val>
            <c:numLit>
              <c:formatCode>General</c:formatCode>
              <c:ptCount val="5"/>
              <c:pt idx="0">
                <c:v>75.33</c:v>
              </c:pt>
              <c:pt idx="1">
                <c:v>73.099999999999994</c:v>
              </c:pt>
              <c:pt idx="2">
                <c:v>72.86</c:v>
              </c:pt>
              <c:pt idx="3">
                <c:v>70.959999999999994</c:v>
              </c:pt>
              <c:pt idx="4">
                <c:v>69.8</c:v>
              </c:pt>
            </c:numLit>
          </c:val>
          <c:extLst>
            <c:ext xmlns:c16="http://schemas.microsoft.com/office/drawing/2014/chart" uri="{C3380CC4-5D6E-409C-BE32-E72D297353CC}">
              <c16:uniqueId val="{00000009-58F0-4CA3-80D3-8E48CB3A3EA0}"/>
            </c:ext>
          </c:extLst>
        </c:ser>
        <c:dLbls>
          <c:dLblPos val="ctr"/>
          <c:showLegendKey val="0"/>
          <c:showVal val="1"/>
          <c:showCatName val="0"/>
          <c:showSerName val="0"/>
          <c:showPercent val="0"/>
          <c:showBubbleSize val="0"/>
        </c:dLbls>
        <c:gapWidth val="150"/>
        <c:overlap val="100"/>
        <c:axId val="1668650943"/>
        <c:axId val="1668635103"/>
      </c:barChart>
      <c:catAx>
        <c:axId val="166865094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Players </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635103"/>
        <c:crosses val="autoZero"/>
        <c:auto val="1"/>
        <c:lblAlgn val="ctr"/>
        <c:lblOffset val="100"/>
        <c:noMultiLvlLbl val="0"/>
      </c:catAx>
      <c:valAx>
        <c:axId val="1668635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Total runs and boundy percentage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650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Highest Partnership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9867582341681"/>
          <c:y val="0.22323076923076923"/>
          <c:w val="0.6491631169054688"/>
          <c:h val="0.52311528366646476"/>
        </c:manualLayout>
      </c:layout>
      <c:barChart>
        <c:barDir val="col"/>
        <c:grouping val="stack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8D1B-409E-85E5-B343F882A7DD}"/>
              </c:ext>
            </c:extLst>
          </c:dPt>
          <c:dPt>
            <c:idx val="1"/>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C19-4375-BE2A-3F795020EEAA}"/>
              </c:ext>
            </c:extLst>
          </c:dPt>
          <c:dPt>
            <c:idx val="2"/>
            <c:invertIfNegative val="0"/>
            <c:bubble3D val="0"/>
            <c:spPr>
              <a:solidFill>
                <a:schemeClr val="accent6">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C19-4375-BE2A-3F795020EEAA}"/>
              </c:ext>
            </c:extLst>
          </c:dPt>
          <c:dPt>
            <c:idx val="3"/>
            <c:invertIfNegative val="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C19-4375-BE2A-3F795020EEAA}"/>
              </c:ext>
            </c:extLst>
          </c:dPt>
          <c:dPt>
            <c:idx val="4"/>
            <c:invertIfNegative val="0"/>
            <c:bubble3D val="0"/>
            <c:spPr>
              <a:solidFill>
                <a:schemeClr val="bg1">
                  <a:lumMod val="9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C19-4375-BE2A-3F795020EE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MP Stoinis, HWR Cartwright</c:v>
              </c:pt>
              <c:pt idx="1">
                <c:v>MS Wade, DJM Short</c:v>
              </c:pt>
              <c:pt idx="2">
                <c:v>JP Inglis, LS Livingstone</c:v>
              </c:pt>
              <c:pt idx="3">
                <c:v>PD Salt, J Weatherald</c:v>
              </c:pt>
              <c:pt idx="4">
                <c:v>UT Khawaja, AD Hales</c:v>
              </c:pt>
            </c:strLit>
          </c:cat>
          <c:val>
            <c:numLit>
              <c:formatCode>General</c:formatCode>
              <c:ptCount val="5"/>
              <c:pt idx="0">
                <c:v>207</c:v>
              </c:pt>
              <c:pt idx="1">
                <c:v>203</c:v>
              </c:pt>
              <c:pt idx="2">
                <c:v>136</c:v>
              </c:pt>
              <c:pt idx="3">
                <c:v>104</c:v>
              </c:pt>
              <c:pt idx="4">
                <c:v>103</c:v>
              </c:pt>
            </c:numLit>
          </c:val>
          <c:extLst>
            <c:ext xmlns:c16="http://schemas.microsoft.com/office/drawing/2014/chart" uri="{C3380CC4-5D6E-409C-BE32-E72D297353CC}">
              <c16:uniqueId val="{00000008-EC19-4375-BE2A-3F795020EEAA}"/>
            </c:ext>
          </c:extLst>
        </c:ser>
        <c:dLbls>
          <c:dLblPos val="ctr"/>
          <c:showLegendKey val="0"/>
          <c:showVal val="1"/>
          <c:showCatName val="0"/>
          <c:showSerName val="0"/>
          <c:showPercent val="0"/>
          <c:showBubbleSize val="0"/>
        </c:dLbls>
        <c:gapWidth val="150"/>
        <c:overlap val="100"/>
        <c:axId val="1718067840"/>
        <c:axId val="1718050560"/>
      </c:barChart>
      <c:catAx>
        <c:axId val="171806784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Partnership Between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050560"/>
        <c:crosses val="autoZero"/>
        <c:auto val="1"/>
        <c:lblAlgn val="ctr"/>
        <c:lblOffset val="100"/>
        <c:noMultiLvlLbl val="0"/>
      </c:catAx>
      <c:valAx>
        <c:axId val="1718050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Partnership Runs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067840"/>
        <c:crosses val="autoZero"/>
        <c:crossBetween val="between"/>
      </c:valAx>
      <c:spPr>
        <a:noFill/>
        <a:ln>
          <a:noFill/>
        </a:ln>
        <a:effectLst/>
      </c:spPr>
    </c:plotArea>
    <c:legend>
      <c:legendPos val="r"/>
      <c:layout>
        <c:manualLayout>
          <c:xMode val="edge"/>
          <c:yMode val="edge"/>
          <c:x val="0.75763864346400145"/>
          <c:y val="0.4529300282995351"/>
          <c:w val="0.22440803517154612"/>
          <c:h val="0.436458012580829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Highest Runs scored by player against opposition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6">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94D-42A3-8D7C-73FCF91B4610}"/>
              </c:ext>
            </c:extLst>
          </c:dPt>
          <c:dPt>
            <c:idx val="2"/>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94D-42A3-8D7C-73FCF91B4610}"/>
              </c:ext>
            </c:extLst>
          </c:dPt>
          <c:dPt>
            <c:idx val="3"/>
            <c:invertIfNegative val="0"/>
            <c:bubble3D val="0"/>
            <c:spPr>
              <a:solidFill>
                <a:schemeClr val="accent5">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94D-42A3-8D7C-73FCF91B4610}"/>
              </c:ext>
            </c:extLst>
          </c:dPt>
          <c:dPt>
            <c:idx val="4"/>
            <c:invertIfNegative val="0"/>
            <c:bubble3D val="0"/>
            <c:spPr>
              <a:solidFill>
                <a:schemeClr val="bg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94D-42A3-8D7C-73FCF91B46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Sixers</c:v>
              </c:pt>
              <c:pt idx="1">
                <c:v>Thunder</c:v>
              </c:pt>
              <c:pt idx="2">
                <c:v>Hurricanes</c:v>
              </c:pt>
              <c:pt idx="3">
                <c:v>Strikers</c:v>
              </c:pt>
              <c:pt idx="4">
                <c:v>Heat</c:v>
              </c:pt>
            </c:strLit>
          </c:cat>
          <c:val>
            <c:numLit>
              <c:formatCode>General</c:formatCode>
              <c:ptCount val="5"/>
              <c:pt idx="0">
                <c:v>147</c:v>
              </c:pt>
              <c:pt idx="1">
                <c:v>130</c:v>
              </c:pt>
              <c:pt idx="2">
                <c:v>109</c:v>
              </c:pt>
              <c:pt idx="3">
                <c:v>103</c:v>
              </c:pt>
              <c:pt idx="4">
                <c:v>94</c:v>
              </c:pt>
            </c:numLit>
          </c:val>
          <c:extLst>
            <c:ext xmlns:c16="http://schemas.microsoft.com/office/drawing/2014/chart" uri="{C3380CC4-5D6E-409C-BE32-E72D297353CC}">
              <c16:uniqueId val="{00000000-D94D-42A3-8D7C-73FCF91B4610}"/>
            </c:ext>
          </c:extLst>
        </c:ser>
        <c:dLbls>
          <c:dLblPos val="outEnd"/>
          <c:showLegendKey val="0"/>
          <c:showVal val="1"/>
          <c:showCatName val="0"/>
          <c:showSerName val="0"/>
          <c:showPercent val="0"/>
          <c:showBubbleSize val="0"/>
        </c:dLbls>
        <c:gapWidth val="100"/>
        <c:overlap val="-24"/>
        <c:axId val="531240655"/>
        <c:axId val="531245455"/>
      </c:barChart>
      <c:catAx>
        <c:axId val="53124065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Players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245455"/>
        <c:crosses val="autoZero"/>
        <c:auto val="1"/>
        <c:lblAlgn val="ctr"/>
        <c:lblOffset val="100"/>
        <c:noMultiLvlLbl val="0"/>
      </c:catAx>
      <c:valAx>
        <c:axId val="531245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Highest Score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24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Maximum Centuries(100s)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002060"/>
            </a:solidFill>
            <a:ln>
              <a:noFill/>
            </a:ln>
            <a:effectLst>
              <a:outerShdw blurRad="57150" dist="19050" dir="5400000" algn="ctr" rotWithShape="0">
                <a:srgbClr val="000000">
                  <a:alpha val="63000"/>
                </a:srgbClr>
              </a:outerShdw>
            </a:effectLst>
          </c:spPr>
          <c:invertIfNegative val="0"/>
          <c:dPt>
            <c:idx val="1"/>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2E5-4FE1-AA2A-F3721D3A42C0}"/>
              </c:ext>
            </c:extLst>
          </c:dPt>
          <c:dPt>
            <c:idx val="2"/>
            <c:invertIfNegative val="0"/>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2E5-4FE1-AA2A-F3721D3A42C0}"/>
              </c:ext>
            </c:extLst>
          </c:dPt>
          <c:dPt>
            <c:idx val="3"/>
            <c:invertIfNegative val="0"/>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52E5-4FE1-AA2A-F3721D3A42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MS Wade</c:v>
              </c:pt>
              <c:pt idx="1">
                <c:v>MP Stoinis</c:v>
              </c:pt>
              <c:pt idx="2">
                <c:v>AJ Finch</c:v>
              </c:pt>
              <c:pt idx="3">
                <c:v>DJM Short</c:v>
              </c:pt>
            </c:strLit>
          </c:cat>
          <c:val>
            <c:numLit>
              <c:formatCode>General</c:formatCode>
              <c:ptCount val="4"/>
              <c:pt idx="0">
                <c:v>1</c:v>
              </c:pt>
              <c:pt idx="1">
                <c:v>1</c:v>
              </c:pt>
              <c:pt idx="2">
                <c:v>1</c:v>
              </c:pt>
              <c:pt idx="3">
                <c:v>1</c:v>
              </c:pt>
            </c:numLit>
          </c:val>
          <c:extLst>
            <c:ext xmlns:c16="http://schemas.microsoft.com/office/drawing/2014/chart" uri="{C3380CC4-5D6E-409C-BE32-E72D297353CC}">
              <c16:uniqueId val="{00000000-52E5-4FE1-AA2A-F3721D3A42C0}"/>
            </c:ext>
          </c:extLst>
        </c:ser>
        <c:dLbls>
          <c:dLblPos val="outEnd"/>
          <c:showLegendKey val="0"/>
          <c:showVal val="1"/>
          <c:showCatName val="0"/>
          <c:showSerName val="0"/>
          <c:showPercent val="0"/>
          <c:showBubbleSize val="0"/>
        </c:dLbls>
        <c:gapWidth val="100"/>
        <c:overlap val="-24"/>
        <c:axId val="1152033584"/>
        <c:axId val="1152035024"/>
      </c:barChart>
      <c:catAx>
        <c:axId val="115203358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Players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035024"/>
        <c:crosses val="autoZero"/>
        <c:auto val="1"/>
        <c:lblAlgn val="ctr"/>
        <c:lblOffset val="100"/>
        <c:noMultiLvlLbl val="0"/>
      </c:catAx>
      <c:valAx>
        <c:axId val="1152035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Centuries</a:t>
                </a:r>
              </a:p>
            </c:rich>
          </c:tx>
          <c:layout>
            <c:manualLayout>
              <c:xMode val="edge"/>
              <c:yMode val="edge"/>
              <c:x val="2.2222222222222223E-2"/>
              <c:y val="0.4294586614173228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033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 Rankings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75D5"/>
          </a:solidFill>
          <a:ln>
            <a:noFill/>
          </a:ln>
          <a:effectLst>
            <a:outerShdw blurRad="57150" dist="19050" dir="5400000" algn="ctr" rotWithShape="0">
              <a:srgbClr val="000000">
                <a:alpha val="63000"/>
              </a:srgbClr>
            </a:outerShdw>
          </a:effectLst>
        </c:spPr>
      </c:pivotFmt>
      <c:pivotFmt>
        <c:idx val="2"/>
        <c:spPr>
          <a:solidFill>
            <a:schemeClr val="accent1">
              <a:lumMod val="20000"/>
              <a:lumOff val="80000"/>
            </a:schemeClr>
          </a:solidFill>
          <a:ln>
            <a:noFill/>
          </a:ln>
          <a:effectLst>
            <a:outerShdw blurRad="57150" dist="19050" dir="5400000" algn="ctr" rotWithShape="0">
              <a:srgbClr val="000000">
                <a:alpha val="63000"/>
              </a:srgbClr>
            </a:outerShdw>
          </a:effectLst>
        </c:spPr>
      </c:pivotFmt>
      <c:pivotFmt>
        <c:idx val="3"/>
        <c:spPr>
          <a:solidFill>
            <a:schemeClr val="accent4">
              <a:lumMod val="40000"/>
              <a:lumOff val="60000"/>
            </a:schemeClr>
          </a:solidFill>
          <a:ln>
            <a:noFill/>
          </a:ln>
          <a:effectLst>
            <a:outerShdw blurRad="57150" dist="19050" dir="5400000" algn="ctr" rotWithShape="0">
              <a:srgbClr val="000000">
                <a:alpha val="63000"/>
              </a:srgbClr>
            </a:outerShdw>
          </a:effectLst>
        </c:spPr>
      </c:pivotFmt>
      <c:pivotFmt>
        <c:idx val="4"/>
        <c:spPr>
          <a:solidFill>
            <a:schemeClr val="bg2">
              <a:lumMod val="75000"/>
            </a:schemeClr>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73BE-40C7-AE0F-C57C61603F6F}"/>
              </c:ext>
            </c:extLst>
          </c:dPt>
          <c:dPt>
            <c:idx val="1"/>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3BE-40C7-AE0F-C57C61603F6F}"/>
              </c:ext>
            </c:extLst>
          </c:dPt>
          <c:dPt>
            <c:idx val="2"/>
            <c:invertIfNegative val="0"/>
            <c:bubble3D val="0"/>
            <c:spPr>
              <a:solidFill>
                <a:schemeClr val="accent1">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3BE-40C7-AE0F-C57C61603F6F}"/>
              </c:ext>
            </c:extLst>
          </c:dPt>
          <c:dPt>
            <c:idx val="3"/>
            <c:invertIfNegative val="0"/>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3BE-40C7-AE0F-C57C61603F6F}"/>
              </c:ext>
            </c:extLst>
          </c:dPt>
          <c:dPt>
            <c:idx val="4"/>
            <c:invertIfNegative val="0"/>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73BE-40C7-AE0F-C57C61603F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ln>
              <a:effectLst/>
            </c:spPr>
            <c:trendlineType val="linear"/>
            <c:dispRSqr val="0"/>
            <c:dispEq val="0"/>
          </c:trendline>
          <c:cat>
            <c:strLit>
              <c:ptCount val="5"/>
              <c:pt idx="0">
                <c:v>MP Stoinis</c:v>
              </c:pt>
              <c:pt idx="1">
                <c:v>AD Hales</c:v>
              </c:pt>
              <c:pt idx="2">
                <c:v>JW Wells</c:v>
              </c:pt>
              <c:pt idx="3">
                <c:v>JR Philippe</c:v>
              </c:pt>
              <c:pt idx="4">
                <c:v>SE Marsh</c:v>
              </c:pt>
            </c:strLit>
          </c:cat>
          <c:val>
            <c:numLit>
              <c:formatCode>General</c:formatCode>
              <c:ptCount val="5"/>
              <c:pt idx="0">
                <c:v>1</c:v>
              </c:pt>
              <c:pt idx="1">
                <c:v>2</c:v>
              </c:pt>
              <c:pt idx="2">
                <c:v>3</c:v>
              </c:pt>
              <c:pt idx="3">
                <c:v>4</c:v>
              </c:pt>
              <c:pt idx="4">
                <c:v>5</c:v>
              </c:pt>
            </c:numLit>
          </c:val>
          <c:extLst>
            <c:ext xmlns:c16="http://schemas.microsoft.com/office/drawing/2014/chart" uri="{C3380CC4-5D6E-409C-BE32-E72D297353CC}">
              <c16:uniqueId val="{00000009-73BE-40C7-AE0F-C57C61603F6F}"/>
            </c:ext>
          </c:extLst>
        </c:ser>
        <c:dLbls>
          <c:dLblPos val="outEnd"/>
          <c:showLegendKey val="0"/>
          <c:showVal val="1"/>
          <c:showCatName val="0"/>
          <c:showSerName val="0"/>
          <c:showPercent val="0"/>
          <c:showBubbleSize val="0"/>
        </c:dLbls>
        <c:gapWidth val="100"/>
        <c:overlap val="-24"/>
        <c:axId val="1718084160"/>
        <c:axId val="1718088000"/>
      </c:barChart>
      <c:catAx>
        <c:axId val="171808416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Players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088000"/>
        <c:crosses val="autoZero"/>
        <c:auto val="1"/>
        <c:lblAlgn val="ctr"/>
        <c:lblOffset val="100"/>
        <c:noMultiLvlLbl val="0"/>
      </c:catAx>
      <c:valAx>
        <c:axId val="1718088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Ranks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084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Worst  Performers Rankings </a:t>
            </a:r>
          </a:p>
        </c:rich>
      </c:tx>
      <c:layout>
        <c:manualLayout>
          <c:xMode val="edge"/>
          <c:yMode val="edge"/>
          <c:x val="0.2285959396418204"/>
          <c:y val="7.666246719160103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57150" dist="19050" dir="5400000" algn="ctr" rotWithShape="0">
              <a:srgbClr val="000000">
                <a:alpha val="63000"/>
              </a:srgbClr>
            </a:outerShdw>
          </a:effectLst>
        </c:spPr>
      </c:pivotFmt>
      <c:pivotFmt>
        <c:idx val="6"/>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7"/>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8"/>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70B-483D-A804-C24DDBE7E5BC}"/>
              </c:ext>
            </c:extLst>
          </c:dPt>
          <c:dPt>
            <c:idx val="2"/>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70B-483D-A804-C24DDBE7E5BC}"/>
              </c:ext>
            </c:extLst>
          </c:dPt>
          <c:dPt>
            <c:idx val="3"/>
            <c:invertIfNegative val="0"/>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70B-483D-A804-C24DDBE7E5BC}"/>
              </c:ext>
            </c:extLst>
          </c:dPt>
          <c:dPt>
            <c:idx val="4"/>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70B-483D-A804-C24DDBE7E5BC}"/>
              </c:ext>
            </c:extLst>
          </c:dPt>
          <c:dLbls>
            <c:delete val="1"/>
          </c:dLbls>
          <c:trendline>
            <c:spPr>
              <a:ln w="19050" cap="rnd">
                <a:solidFill>
                  <a:schemeClr val="accent1"/>
                </a:solidFill>
              </a:ln>
              <a:effectLst/>
            </c:spPr>
            <c:trendlineType val="linear"/>
            <c:dispRSqr val="0"/>
            <c:dispEq val="0"/>
          </c:trendline>
          <c:cat>
            <c:strLit>
              <c:ptCount val="5"/>
              <c:pt idx="0">
                <c:v>MS Harris</c:v>
              </c:pt>
              <c:pt idx="1">
                <c:v>NJ Maddinson</c:v>
              </c:pt>
              <c:pt idx="2">
                <c:v>DT Christian</c:v>
              </c:pt>
              <c:pt idx="3">
                <c:v>CH Morris</c:v>
              </c:pt>
              <c:pt idx="4">
                <c:v>SD Heazlett</c:v>
              </c:pt>
            </c:strLit>
          </c:cat>
          <c:val>
            <c:numLit>
              <c:formatCode>General</c:formatCode>
              <c:ptCount val="5"/>
              <c:pt idx="0">
                <c:v>50</c:v>
              </c:pt>
              <c:pt idx="1">
                <c:v>49</c:v>
              </c:pt>
              <c:pt idx="2">
                <c:v>48</c:v>
              </c:pt>
              <c:pt idx="3">
                <c:v>47</c:v>
              </c:pt>
              <c:pt idx="4">
                <c:v>46</c:v>
              </c:pt>
            </c:numLit>
          </c:val>
          <c:extLst>
            <c:ext xmlns:c16="http://schemas.microsoft.com/office/drawing/2014/chart" uri="{C3380CC4-5D6E-409C-BE32-E72D297353CC}">
              <c16:uniqueId val="{00000009-F70B-483D-A804-C24DDBE7E5BC}"/>
            </c:ext>
          </c:extLst>
        </c:ser>
        <c:dLbls>
          <c:dLblPos val="outEnd"/>
          <c:showLegendKey val="0"/>
          <c:showVal val="1"/>
          <c:showCatName val="0"/>
          <c:showSerName val="0"/>
          <c:showPercent val="0"/>
          <c:showBubbleSize val="0"/>
        </c:dLbls>
        <c:gapWidth val="100"/>
        <c:overlap val="-24"/>
        <c:axId val="1833525760"/>
        <c:axId val="1833521920"/>
      </c:barChart>
      <c:catAx>
        <c:axId val="183352576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Players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521920"/>
        <c:crosses val="autoZero"/>
        <c:auto val="1"/>
        <c:lblAlgn val="ctr"/>
        <c:lblOffset val="100"/>
        <c:noMultiLvlLbl val="0"/>
      </c:catAx>
      <c:valAx>
        <c:axId val="183352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Rankings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525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[BBL_2019-2020_Batting final.xlsx]TEAM!PivotTable6</c:name>
    <c:fmtId val="21"/>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Team-wise Average Strike Rate</a:t>
            </a:r>
            <a:endParaRPr lang="en-IN">
              <a:solidFill>
                <a:schemeClr val="tx1"/>
              </a:solidFill>
            </a:endParaRPr>
          </a:p>
        </c:rich>
      </c:tx>
      <c:layout>
        <c:manualLayout>
          <c:xMode val="edge"/>
          <c:yMode val="edge"/>
          <c:x val="0.19595252613625316"/>
          <c:y val="7.0266028304250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r>
                  <a:rPr lang="en-US" baseline="0"/>
                  <a:t> </a:t>
                </a:r>
                <a:fld id="{E0180E86-B3F5-4128-B652-6851BFC0F29D}" type="VALUE">
                  <a:rPr lang="en-US" baseline="0"/>
                  <a:pPr>
                    <a:defRPr sz="900" b="0" i="0" u="none" strike="noStrike" kern="1200" baseline="0">
                      <a:solidFill>
                        <a:schemeClr val="tx1"/>
                      </a:solidFill>
                      <a:latin typeface="+mn-lt"/>
                      <a:ea typeface="+mn-ea"/>
                      <a:cs typeface="+mn-cs"/>
                    </a:defRPr>
                  </a:pPr>
                  <a:t>[VALUE]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4">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r>
                  <a:rPr lang="en-US" baseline="0"/>
                  <a:t> </a:t>
                </a:r>
                <a:fld id="{BB7811D9-5E59-4A51-8AF9-7FE068512FC0}" type="VALUE">
                  <a:rPr lang="en-US" baseline="0"/>
                  <a:pPr>
                    <a:defRPr sz="900" b="0" i="0" u="none" strike="noStrike" kern="1200" baseline="0">
                      <a:solidFill>
                        <a:schemeClr val="tx1"/>
                      </a:solidFill>
                      <a:latin typeface="+mn-lt"/>
                      <a:ea typeface="+mn-ea"/>
                      <a:cs typeface="+mn-cs"/>
                    </a:defRPr>
                  </a:pPr>
                  <a:t>[VALUE]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2">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B42A1C2B-BE2D-48AA-95F4-2F344EFD6821}" type="VALUE">
                  <a:rPr lang="en-US" baseline="0"/>
                  <a:pPr>
                    <a:defRPr sz="900" b="0" i="0" u="none" strike="noStrike" kern="1200" baseline="0">
                      <a:solidFill>
                        <a:schemeClr val="tx1"/>
                      </a:solidFill>
                      <a:latin typeface="+mn-lt"/>
                      <a:ea typeface="+mn-ea"/>
                      <a:cs typeface="+mn-cs"/>
                    </a:defRPr>
                  </a:pPr>
                  <a:t>[VALUE]</a:t>
                </a:fld>
                <a:endParaRPr lang="en-IN"/>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N"/>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2"/>
          </a:solidFill>
          <a:ln>
            <a:noFill/>
          </a:ln>
          <a:effectLst>
            <a:outerShdw blurRad="57150" dist="19050" dir="5400000" algn="ctr" rotWithShape="0">
              <a:srgbClr val="000000">
                <a:alpha val="63000"/>
              </a:srgbClr>
            </a:outerShdw>
          </a:effectLst>
        </c:spPr>
        <c:dLbl>
          <c:idx val="0"/>
          <c:layout>
            <c:manualLayout>
              <c:x val="5.6116722783389446E-3"/>
              <c:y val="8.8843165961038015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r>
                  <a:rPr lang="en-US" baseline="0"/>
                  <a:t> </a:t>
                </a:r>
                <a:fld id="{1785B184-25BF-4B5E-A251-D2D04A13BEAB}" type="VALUE">
                  <a:rPr lang="en-US" baseline="0"/>
                  <a:pPr>
                    <a:defRPr sz="900" b="0" i="0" u="none" strike="noStrike" kern="1200" baseline="0">
                      <a:solidFill>
                        <a:schemeClr val="tx1"/>
                      </a:solidFill>
                      <a:latin typeface="+mn-lt"/>
                      <a:ea typeface="+mn-ea"/>
                      <a:cs typeface="+mn-cs"/>
                    </a:defRPr>
                  </a:pPr>
                  <a:t>[VALUE]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rgbClr val="00B0F0"/>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F89C7FF8-A3BF-42C5-9A1E-7C3615802444}" type="VALUE">
                  <a:rPr lang="en-US" baseline="0"/>
                  <a:pPr>
                    <a:defRPr sz="900" b="0" i="0" u="none" strike="noStrike" kern="1200" baseline="0">
                      <a:solidFill>
                        <a:schemeClr val="tx1"/>
                      </a:solidFill>
                      <a:latin typeface="+mn-lt"/>
                      <a:ea typeface="+mn-ea"/>
                      <a:cs typeface="+mn-cs"/>
                    </a:defRPr>
                  </a:pPr>
                  <a:t>[VALUE]</a:t>
                </a:fld>
                <a:endParaRPr lang="en-IN"/>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N"/>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olidFill>
          <a:ln>
            <a:noFill/>
          </a:ln>
          <a:effectLst>
            <a:outerShdw blurRad="57150" dist="19050" dir="5400000" algn="ctr" rotWithShape="0">
              <a:srgbClr val="000000">
                <a:alpha val="63000"/>
              </a:srgbClr>
            </a:outerShdw>
          </a:effectLst>
        </c:spPr>
        <c:dLbl>
          <c:idx val="0"/>
          <c:layout>
            <c:manualLayout>
              <c:x val="5.6116722783389446E-3"/>
              <c:y val="8.8843165961038015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r>
                  <a:rPr lang="en-US" baseline="0"/>
                  <a:t> </a:t>
                </a:r>
                <a:fld id="{1785B184-25BF-4B5E-A251-D2D04A13BEAB}" type="VALUE">
                  <a:rPr lang="en-US" baseline="0"/>
                  <a:pPr>
                    <a:defRPr sz="900" b="0" i="0" u="none" strike="noStrike" kern="1200" baseline="0">
                      <a:solidFill>
                        <a:schemeClr val="tx1"/>
                      </a:solidFill>
                      <a:latin typeface="+mn-lt"/>
                      <a:ea typeface="+mn-ea"/>
                      <a:cs typeface="+mn-cs"/>
                    </a:defRPr>
                  </a:pPr>
                  <a:t>[VALUE]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4">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r>
                  <a:rPr lang="en-US" baseline="0"/>
                  <a:t> </a:t>
                </a:r>
                <a:fld id="{BB7811D9-5E59-4A51-8AF9-7FE068512FC0}" type="VALUE">
                  <a:rPr lang="en-US" baseline="0"/>
                  <a:pPr>
                    <a:defRPr sz="900" b="0" i="0" u="none" strike="noStrike" kern="1200" baseline="0">
                      <a:solidFill>
                        <a:schemeClr val="tx1"/>
                      </a:solidFill>
                      <a:latin typeface="+mn-lt"/>
                      <a:ea typeface="+mn-ea"/>
                      <a:cs typeface="+mn-cs"/>
                    </a:defRPr>
                  </a:pPr>
                  <a:t>[VALUE]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rgbClr val="00B0F0"/>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F89C7FF8-A3BF-42C5-9A1E-7C3615802444}" type="VALUE">
                  <a:rPr lang="en-US" baseline="0"/>
                  <a:pPr>
                    <a:defRPr sz="900" b="0" i="0" u="none" strike="noStrike" kern="1200" baseline="0">
                      <a:solidFill>
                        <a:schemeClr val="tx1"/>
                      </a:solidFill>
                      <a:latin typeface="+mn-lt"/>
                      <a:ea typeface="+mn-ea"/>
                      <a:cs typeface="+mn-cs"/>
                    </a:defRPr>
                  </a:pPr>
                  <a:t>[VALUE]</a:t>
                </a:fld>
                <a:endParaRPr lang="en-IN"/>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N"/>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2">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B42A1C2B-BE2D-48AA-95F4-2F344EFD6821}" type="VALUE">
                  <a:rPr lang="en-US" baseline="0"/>
                  <a:pPr>
                    <a:defRPr sz="900" b="0" i="0" u="none" strike="noStrike" kern="1200" baseline="0">
                      <a:solidFill>
                        <a:schemeClr val="tx1"/>
                      </a:solidFill>
                      <a:latin typeface="+mn-lt"/>
                      <a:ea typeface="+mn-ea"/>
                      <a:cs typeface="+mn-cs"/>
                    </a:defRPr>
                  </a:pPr>
                  <a:t>[VALUE]</a:t>
                </a:fld>
                <a:endParaRPr lang="en-IN"/>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N"/>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r>
                  <a:rPr lang="en-US" baseline="0"/>
                  <a:t> </a:t>
                </a:r>
                <a:fld id="{E0180E86-B3F5-4128-B652-6851BFC0F29D}" type="VALUE">
                  <a:rPr lang="en-US" baseline="0"/>
                  <a:pPr>
                    <a:defRPr sz="900" b="0" i="0" u="none" strike="noStrike" kern="1200" baseline="0">
                      <a:solidFill>
                        <a:schemeClr val="tx1"/>
                      </a:solidFill>
                      <a:latin typeface="+mn-lt"/>
                      <a:ea typeface="+mn-ea"/>
                      <a:cs typeface="+mn-cs"/>
                    </a:defRPr>
                  </a:pPr>
                  <a:t>[VALUE]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2"/>
          </a:solidFill>
          <a:ln>
            <a:noFill/>
          </a:ln>
          <a:effectLst>
            <a:outerShdw blurRad="57150" dist="19050" dir="5400000" algn="ctr" rotWithShape="0">
              <a:srgbClr val="000000">
                <a:alpha val="63000"/>
              </a:srgbClr>
            </a:outerShdw>
          </a:effectLst>
        </c:spPr>
        <c:dLbl>
          <c:idx val="0"/>
          <c:layout>
            <c:manualLayout>
              <c:x val="5.6116722783389446E-3"/>
              <c:y val="8.8843165961038015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r>
                  <a:rPr lang="en-US" baseline="0"/>
                  <a:t> </a:t>
                </a:r>
                <a:fld id="{1785B184-25BF-4B5E-A251-D2D04A13BEAB}" type="VALUE">
                  <a:rPr lang="en-US" baseline="0"/>
                  <a:pPr>
                    <a:defRPr>
                      <a:solidFill>
                        <a:schemeClr val="tx1"/>
                      </a:solidFill>
                    </a:defRPr>
                  </a:pPr>
                  <a:t>[VALUE]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solidFill>
            <a:schemeClr val="accent4">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r>
                  <a:rPr lang="en-US" baseline="0"/>
                  <a:t> </a:t>
                </a:r>
                <a:fld id="{BB7811D9-5E59-4A51-8AF9-7FE068512FC0}" type="VALUE">
                  <a:rPr lang="en-US" baseline="0"/>
                  <a:pPr>
                    <a:defRPr>
                      <a:solidFill>
                        <a:schemeClr val="tx1"/>
                      </a:solidFill>
                    </a:defRPr>
                  </a:pPr>
                  <a:t>[VALUE]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5"/>
        <c:spPr>
          <a:solidFill>
            <a:srgbClr val="00B0F0"/>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F89C7FF8-A3BF-42C5-9A1E-7C3615802444}" type="VALUE">
                  <a:rPr lang="en-US" baseline="0"/>
                  <a:pPr>
                    <a:defRPr>
                      <a:solidFill>
                        <a:schemeClr val="tx1"/>
                      </a:solidFill>
                    </a:defRPr>
                  </a:pPr>
                  <a:t>[VALUE]</a:t>
                </a:fld>
                <a:endParaRPr lang="en-IN"/>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6"/>
        <c:spPr>
          <a:solidFill>
            <a:schemeClr val="accent2">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B42A1C2B-BE2D-48AA-95F4-2F344EFD6821}" type="VALUE">
                  <a:rPr lang="en-US" baseline="0"/>
                  <a:pPr>
                    <a:defRPr>
                      <a:solidFill>
                        <a:schemeClr val="tx1"/>
                      </a:solidFill>
                    </a:defRPr>
                  </a:pPr>
                  <a:t>[VALUE]</a:t>
                </a:fld>
                <a:endParaRPr lang="en-IN"/>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r>
                  <a:rPr lang="en-US" baseline="0"/>
                  <a:t> </a:t>
                </a:r>
                <a:fld id="{E0180E86-B3F5-4128-B652-6851BFC0F29D}" type="VALUE">
                  <a:rPr lang="en-US" baseline="0"/>
                  <a:pPr>
                    <a:defRPr>
                      <a:solidFill>
                        <a:schemeClr val="tx1"/>
                      </a:solidFill>
                    </a:defRPr>
                  </a:pPr>
                  <a:t>[VALUE]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barChart>
        <c:barDir val="col"/>
        <c:grouping val="clustered"/>
        <c:varyColors val="0"/>
        <c:ser>
          <c:idx val="0"/>
          <c:order val="0"/>
          <c:tx>
            <c:strRef>
              <c:f>TEAM!$N$2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145-4030-85CD-39316E27564E}"/>
              </c:ext>
            </c:extLst>
          </c:dPt>
          <c:dPt>
            <c:idx val="1"/>
            <c:invertIfNegative val="0"/>
            <c:bubble3D val="0"/>
            <c:spPr>
              <a:solidFill>
                <a:schemeClr val="accent4">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145-4030-85CD-39316E27564E}"/>
              </c:ext>
            </c:extLst>
          </c:dPt>
          <c:dPt>
            <c:idx val="2"/>
            <c:invertIfNegative val="0"/>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145-4030-85CD-39316E27564E}"/>
              </c:ext>
            </c:extLst>
          </c:dPt>
          <c:dPt>
            <c:idx val="3"/>
            <c:invertIfNegative val="0"/>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145-4030-85CD-39316E27564E}"/>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145-4030-85CD-39316E27564E}"/>
              </c:ext>
            </c:extLst>
          </c:dPt>
          <c:dLbls>
            <c:dLbl>
              <c:idx val="0"/>
              <c:layout>
                <c:manualLayout>
                  <c:x val="5.6116722783389446E-3"/>
                  <c:y val="8.8843165961038015E-3"/>
                </c:manualLayout>
              </c:layout>
              <c:tx>
                <c:rich>
                  <a:bodyPr/>
                  <a:lstStyle/>
                  <a:p>
                    <a:r>
                      <a:rPr lang="en-US" baseline="0"/>
                      <a:t> </a:t>
                    </a:r>
                    <a:fld id="{1785B184-25BF-4B5E-A251-D2D04A13BEAB}" type="VALUE">
                      <a:rPr lang="en-US" baseline="0"/>
                      <a:pPr/>
                      <a:t>[VALUE]</a:t>
                    </a:fld>
                    <a:endParaRPr lang="en-US" baseline="0"/>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145-4030-85CD-39316E27564E}"/>
                </c:ext>
              </c:extLst>
            </c:dLbl>
            <c:dLbl>
              <c:idx val="1"/>
              <c:tx>
                <c:rich>
                  <a:bodyPr/>
                  <a:lstStyle/>
                  <a:p>
                    <a:r>
                      <a:rPr lang="en-US" baseline="0"/>
                      <a:t> </a:t>
                    </a:r>
                    <a:fld id="{BB7811D9-5E59-4A51-8AF9-7FE068512FC0}" type="VALUE">
                      <a:rPr lang="en-US" baseline="0"/>
                      <a:pPr/>
                      <a:t>[VALUE]</a:t>
                    </a:fld>
                    <a:endParaRPr lang="en-US" baseline="0"/>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145-4030-85CD-39316E27564E}"/>
                </c:ext>
              </c:extLst>
            </c:dLbl>
            <c:dLbl>
              <c:idx val="2"/>
              <c:tx>
                <c:rich>
                  <a:bodyPr/>
                  <a:lstStyle/>
                  <a:p>
                    <a:fld id="{F89C7FF8-A3BF-42C5-9A1E-7C3615802444}" type="VALUE">
                      <a:rPr lang="en-US" baseline="0"/>
                      <a:pPr/>
                      <a:t>[VALUE]</a:t>
                    </a:fld>
                    <a:endParaRPr lang="en-IN"/>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2145-4030-85CD-39316E27564E}"/>
                </c:ext>
              </c:extLst>
            </c:dLbl>
            <c:dLbl>
              <c:idx val="3"/>
              <c:tx>
                <c:rich>
                  <a:bodyPr/>
                  <a:lstStyle/>
                  <a:p>
                    <a:fld id="{B42A1C2B-BE2D-48AA-95F4-2F344EFD6821}" type="VALUE">
                      <a:rPr lang="en-US" baseline="0"/>
                      <a:pPr/>
                      <a:t>[VALUE]</a:t>
                    </a:fld>
                    <a:endParaRPr lang="en-IN"/>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2145-4030-85CD-39316E27564E}"/>
                </c:ext>
              </c:extLst>
            </c:dLbl>
            <c:dLbl>
              <c:idx val="4"/>
              <c:tx>
                <c:rich>
                  <a:bodyPr/>
                  <a:lstStyle/>
                  <a:p>
                    <a:r>
                      <a:rPr lang="en-US" baseline="0"/>
                      <a:t> </a:t>
                    </a:r>
                    <a:fld id="{E0180E86-B3F5-4128-B652-6851BFC0F29D}" type="VALUE">
                      <a:rPr lang="en-US" baseline="0"/>
                      <a:pPr/>
                      <a:t>[VALUE]</a:t>
                    </a:fld>
                    <a:endParaRPr lang="en-US" baseline="0"/>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2145-4030-85CD-39316E27564E}"/>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TEAM!$M$3:$M$8</c:f>
              <c:strCache>
                <c:ptCount val="5"/>
                <c:pt idx="0">
                  <c:v>Hurricanes</c:v>
                </c:pt>
                <c:pt idx="1">
                  <c:v>Scorchers</c:v>
                </c:pt>
                <c:pt idx="2">
                  <c:v>Stars</c:v>
                </c:pt>
                <c:pt idx="3">
                  <c:v>Renegades</c:v>
                </c:pt>
                <c:pt idx="4">
                  <c:v>Strikers</c:v>
                </c:pt>
              </c:strCache>
            </c:strRef>
          </c:cat>
          <c:val>
            <c:numRef>
              <c:f>TEAM!$N$3:$N$8</c:f>
              <c:numCache>
                <c:formatCode>0;[Red]0</c:formatCode>
                <c:ptCount val="5"/>
                <c:pt idx="0">
                  <c:v>135.81571428571431</c:v>
                </c:pt>
                <c:pt idx="1">
                  <c:v>136.85600000000002</c:v>
                </c:pt>
                <c:pt idx="2">
                  <c:v>141.03500000000003</c:v>
                </c:pt>
                <c:pt idx="3">
                  <c:v>142.04</c:v>
                </c:pt>
                <c:pt idx="4">
                  <c:v>145.59200000000001</c:v>
                </c:pt>
              </c:numCache>
            </c:numRef>
          </c:val>
          <c:extLst>
            <c:ext xmlns:c16="http://schemas.microsoft.com/office/drawing/2014/chart" uri="{C3380CC4-5D6E-409C-BE32-E72D297353CC}">
              <c16:uniqueId val="{0000000A-2145-4030-85CD-39316E27564E}"/>
            </c:ext>
          </c:extLst>
        </c:ser>
        <c:dLbls>
          <c:showLegendKey val="0"/>
          <c:showVal val="0"/>
          <c:showCatName val="0"/>
          <c:showSerName val="0"/>
          <c:showPercent val="0"/>
          <c:showBubbleSize val="0"/>
        </c:dLbls>
        <c:gapWidth val="100"/>
        <c:axId val="1798190496"/>
        <c:axId val="1798192416"/>
      </c:barChart>
      <c:catAx>
        <c:axId val="179819049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98192416"/>
        <c:crosses val="autoZero"/>
        <c:auto val="1"/>
        <c:lblAlgn val="ctr"/>
        <c:lblOffset val="100"/>
        <c:noMultiLvlLbl val="0"/>
      </c:catAx>
      <c:valAx>
        <c:axId val="1798192416"/>
        <c:scaling>
          <c:orientation val="minMax"/>
        </c:scaling>
        <c:delete val="0"/>
        <c:axPos val="l"/>
        <c:majorGridlines>
          <c:spPr>
            <a:ln w="9525" cap="flat" cmpd="sng" algn="ctr">
              <a:solidFill>
                <a:schemeClr val="lt1">
                  <a:lumMod val="95000"/>
                  <a:alpha val="10000"/>
                </a:schemeClr>
              </a:solidFill>
              <a:round/>
            </a:ln>
            <a:effectLst/>
          </c:spPr>
        </c:majorGridlines>
        <c:numFmt formatCode="0;[Red]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9819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500">
          <a:srgbClr val="FFFFFF"/>
        </a:gs>
        <a:gs pos="0">
          <a:schemeClr val="accent6">
            <a:lumMod val="0"/>
            <a:lumOff val="100000"/>
          </a:schemeClr>
        </a:gs>
        <a:gs pos="1000">
          <a:schemeClr val="accent6">
            <a:lumMod val="0"/>
            <a:lumOff val="100000"/>
          </a:schemeClr>
        </a:gs>
        <a:gs pos="100000">
          <a:schemeClr val="accent6">
            <a:lumMod val="100000"/>
          </a:schemeClr>
        </a:gs>
      </a:gsLst>
      <a:path path="circle">
        <a:fillToRect l="50000" t="-80000" r="50000" b="18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8" Type="http://schemas.openxmlformats.org/officeDocument/2006/relationships/chart" Target="../charts/chart21.xml"/><Relationship Id="rId13" Type="http://schemas.openxmlformats.org/officeDocument/2006/relationships/chart" Target="../charts/chart26.xml"/><Relationship Id="rId3" Type="http://schemas.openxmlformats.org/officeDocument/2006/relationships/chart" Target="../charts/chart16.xml"/><Relationship Id="rId7" Type="http://schemas.openxmlformats.org/officeDocument/2006/relationships/chart" Target="../charts/chart20.xml"/><Relationship Id="rId12" Type="http://schemas.openxmlformats.org/officeDocument/2006/relationships/chart" Target="../charts/chart25.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chart" Target="../charts/chart24.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0</xdr:col>
      <xdr:colOff>182880</xdr:colOff>
      <xdr:row>7</xdr:row>
      <xdr:rowOff>140970</xdr:rowOff>
    </xdr:from>
    <xdr:to>
      <xdr:col>7</xdr:col>
      <xdr:colOff>0</xdr:colOff>
      <xdr:row>21</xdr:row>
      <xdr:rowOff>99060</xdr:rowOff>
    </xdr:to>
    <xdr:graphicFrame macro="">
      <xdr:nvGraphicFramePr>
        <xdr:cNvPr id="3" name="Chart 2">
          <a:extLst>
            <a:ext uri="{FF2B5EF4-FFF2-40B4-BE49-F238E27FC236}">
              <a16:creationId xmlns:a16="http://schemas.microsoft.com/office/drawing/2014/main" id="{EA4CA287-AB08-D9C7-CA54-41B7F53DBD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266700</xdr:colOff>
      <xdr:row>1</xdr:row>
      <xdr:rowOff>38100</xdr:rowOff>
    </xdr:from>
    <xdr:to>
      <xdr:col>7</xdr:col>
      <xdr:colOff>350520</xdr:colOff>
      <xdr:row>6</xdr:row>
      <xdr:rowOff>167640</xdr:rowOff>
    </xdr:to>
    <xdr:sp macro="" textlink="">
      <xdr:nvSpPr>
        <xdr:cNvPr id="2" name="TextBox 1">
          <a:extLst>
            <a:ext uri="{FF2B5EF4-FFF2-40B4-BE49-F238E27FC236}">
              <a16:creationId xmlns:a16="http://schemas.microsoft.com/office/drawing/2014/main" id="{EC798B5B-B20E-9773-2FED-207BDE346062}"/>
            </a:ext>
          </a:extLst>
        </xdr:cNvPr>
        <xdr:cNvSpPr txBox="1"/>
      </xdr:nvSpPr>
      <xdr:spPr>
        <a:xfrm>
          <a:off x="266700" y="220980"/>
          <a:ext cx="4351020" cy="104394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1</a:t>
          </a:r>
          <a:r>
            <a:rPr lang="en-IN" sz="1100" b="1">
              <a:latin typeface="Arial" panose="020B0604020202020204" pitchFamily="34" charset="0"/>
              <a:cs typeface="Arial" panose="020B0604020202020204" pitchFamily="34" charset="0"/>
            </a:rPr>
            <a:t>. who is</a:t>
          </a:r>
          <a:r>
            <a:rPr lang="en-IN" sz="1100" b="1" baseline="0">
              <a:latin typeface="Arial" panose="020B0604020202020204" pitchFamily="34" charset="0"/>
              <a:cs typeface="Arial" panose="020B0604020202020204" pitchFamily="34" charset="0"/>
            </a:rPr>
            <a:t> the top run scorer of the tournament?</a:t>
          </a:r>
          <a:endParaRPr lang="en-IN" sz="1100" b="1">
            <a:latin typeface="Arial" panose="020B0604020202020204" pitchFamily="34" charset="0"/>
            <a:cs typeface="Arial" panose="020B0604020202020204" pitchFamily="34" charset="0"/>
          </a:endParaRPr>
        </a:p>
        <a:p>
          <a:endParaRPr lang="en-IN" sz="1100"/>
        </a:p>
        <a:p>
          <a:r>
            <a:rPr lang="en-IN" sz="1100"/>
            <a:t>2 </a:t>
          </a:r>
          <a:r>
            <a:rPr lang="en-IN" sz="1100" b="1">
              <a:latin typeface="Arial" panose="020B0604020202020204" pitchFamily="34" charset="0"/>
              <a:cs typeface="Arial" panose="020B0604020202020204" pitchFamily="34" charset="0"/>
            </a:rPr>
            <a:t>Who has the best batting average, and how many times did they remain not out?</a:t>
          </a:r>
        </a:p>
        <a:p>
          <a:endParaRPr lang="en-IN" sz="1100" b="1">
            <a:latin typeface="Arial" panose="020B0604020202020204" pitchFamily="34" charset="0"/>
            <a:cs typeface="Arial" panose="020B0604020202020204" pitchFamily="34" charset="0"/>
          </a:endParaRPr>
        </a:p>
        <a:p>
          <a:endParaRPr lang="en-IN" sz="1100"/>
        </a:p>
      </xdr:txBody>
    </xdr:sp>
    <xdr:clientData/>
  </xdr:twoCellAnchor>
  <xdr:twoCellAnchor>
    <xdr:from>
      <xdr:col>12</xdr:col>
      <xdr:colOff>419100</xdr:colOff>
      <xdr:row>9</xdr:row>
      <xdr:rowOff>110490</xdr:rowOff>
    </xdr:from>
    <xdr:to>
      <xdr:col>18</xdr:col>
      <xdr:colOff>419100</xdr:colOff>
      <xdr:row>23</xdr:row>
      <xdr:rowOff>38100</xdr:rowOff>
    </xdr:to>
    <xdr:graphicFrame macro="">
      <xdr:nvGraphicFramePr>
        <xdr:cNvPr id="4" name="Chart 3">
          <a:extLst>
            <a:ext uri="{FF2B5EF4-FFF2-40B4-BE49-F238E27FC236}">
              <a16:creationId xmlns:a16="http://schemas.microsoft.com/office/drawing/2014/main" id="{6594A2AF-263C-080B-5849-8D4589DD2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137160</xdr:colOff>
      <xdr:row>23</xdr:row>
      <xdr:rowOff>45720</xdr:rowOff>
    </xdr:from>
    <xdr:to>
      <xdr:col>8</xdr:col>
      <xdr:colOff>38100</xdr:colOff>
      <xdr:row>32</xdr:row>
      <xdr:rowOff>175260</xdr:rowOff>
    </xdr:to>
    <xdr:sp macro="" textlink="">
      <xdr:nvSpPr>
        <xdr:cNvPr id="5" name="TextBox 4">
          <a:extLst>
            <a:ext uri="{FF2B5EF4-FFF2-40B4-BE49-F238E27FC236}">
              <a16:creationId xmlns:a16="http://schemas.microsoft.com/office/drawing/2014/main" id="{8971273E-6F3C-FCF9-AC60-BF28C764BB09}"/>
            </a:ext>
          </a:extLst>
        </xdr:cNvPr>
        <xdr:cNvSpPr txBox="1"/>
      </xdr:nvSpPr>
      <xdr:spPr>
        <a:xfrm>
          <a:off x="137160" y="4251960"/>
          <a:ext cx="4777740" cy="177546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i="0">
              <a:latin typeface="Arial" panose="020B0604020202020204" pitchFamily="34" charset="0"/>
              <a:cs typeface="Arial" panose="020B0604020202020204" pitchFamily="34" charset="0"/>
            </a:rPr>
            <a:t>Player:</a:t>
          </a:r>
          <a:r>
            <a:rPr lang="en-IN" i="0">
              <a:latin typeface="Arial" panose="020B0604020202020204" pitchFamily="34" charset="0"/>
              <a:cs typeface="Arial" panose="020B0604020202020204" pitchFamily="34" charset="0"/>
            </a:rPr>
            <a:t> Marcus Stoinis</a:t>
          </a:r>
        </a:p>
        <a:p>
          <a:r>
            <a:rPr lang="en-IN" b="1" i="0">
              <a:latin typeface="Arial" panose="020B0604020202020204" pitchFamily="34" charset="0"/>
              <a:cs typeface="Arial" panose="020B0604020202020204" pitchFamily="34" charset="0"/>
            </a:rPr>
            <a:t>Team:</a:t>
          </a:r>
          <a:r>
            <a:rPr lang="en-IN" i="0">
              <a:latin typeface="Arial" panose="020B0604020202020204" pitchFamily="34" charset="0"/>
              <a:cs typeface="Arial" panose="020B0604020202020204" pitchFamily="34" charset="0"/>
            </a:rPr>
            <a:t> Melbourne Stars</a:t>
          </a:r>
        </a:p>
        <a:p>
          <a:r>
            <a:rPr lang="en-IN" b="1" i="0">
              <a:latin typeface="Arial" panose="020B0604020202020204" pitchFamily="34" charset="0"/>
              <a:cs typeface="Arial" panose="020B0604020202020204" pitchFamily="34" charset="0"/>
            </a:rPr>
            <a:t>Total Runs:</a:t>
          </a:r>
          <a:r>
            <a:rPr lang="en-IN" i="0">
              <a:latin typeface="Arial" panose="020B0604020202020204" pitchFamily="34" charset="0"/>
              <a:cs typeface="Arial" panose="020B0604020202020204" pitchFamily="34" charset="0"/>
            </a:rPr>
            <a:t> </a:t>
          </a:r>
          <a:r>
            <a:rPr lang="en-IN" b="1" i="0">
              <a:latin typeface="Arial" panose="020B0604020202020204" pitchFamily="34" charset="0"/>
              <a:cs typeface="Arial" panose="020B0604020202020204" pitchFamily="34" charset="0"/>
            </a:rPr>
            <a:t>705</a:t>
          </a:r>
          <a:endParaRPr lang="en-IN" i="0">
            <a:latin typeface="Arial" panose="020B0604020202020204" pitchFamily="34" charset="0"/>
            <a:cs typeface="Arial" panose="020B0604020202020204" pitchFamily="34" charset="0"/>
          </a:endParaRPr>
        </a:p>
        <a:p>
          <a:r>
            <a:rPr lang="en-IN" i="0" baseline="0">
              <a:latin typeface="Arial" panose="020B0604020202020204" pitchFamily="34" charset="0"/>
              <a:cs typeface="Arial" panose="020B0604020202020204" pitchFamily="34" charset="0"/>
            </a:rPr>
            <a:t>    </a:t>
          </a:r>
          <a:r>
            <a:rPr lang="en-IN" i="0">
              <a:latin typeface="Arial" panose="020B0604020202020204" pitchFamily="34" charset="0"/>
              <a:cs typeface="Arial" panose="020B0604020202020204" pitchFamily="34" charset="0"/>
            </a:rPr>
            <a:t> Marcus Stoinis dominated the 2019–20 BBL season, finishing well ahead of all other players in total runs.</a:t>
          </a:r>
          <a:br>
            <a:rPr lang="en-IN" i="0">
              <a:latin typeface="Arial" panose="020B0604020202020204" pitchFamily="34" charset="0"/>
              <a:cs typeface="Arial" panose="020B0604020202020204" pitchFamily="34" charset="0"/>
            </a:rPr>
          </a:br>
          <a:r>
            <a:rPr lang="en-IN" i="0">
              <a:latin typeface="Arial" panose="020B0604020202020204" pitchFamily="34" charset="0"/>
              <a:cs typeface="Arial" panose="020B0604020202020204" pitchFamily="34" charset="0"/>
            </a:rPr>
            <a:t>The bar chart above shows the </a:t>
          </a:r>
          <a:r>
            <a:rPr lang="en-IN" b="1" i="0">
              <a:latin typeface="Arial" panose="020B0604020202020204" pitchFamily="34" charset="0"/>
              <a:cs typeface="Arial" panose="020B0604020202020204" pitchFamily="34" charset="0"/>
            </a:rPr>
            <a:t>Top 5 run-scorers</a:t>
          </a:r>
          <a:r>
            <a:rPr lang="en-IN" i="0">
              <a:latin typeface="Arial" panose="020B0604020202020204" pitchFamily="34" charset="0"/>
              <a:cs typeface="Arial" panose="020B0604020202020204" pitchFamily="34" charset="0"/>
            </a:rPr>
            <a:t>, with Stoinis clearly leading the pack.</a:t>
          </a:r>
        </a:p>
        <a:p>
          <a:endParaRPr lang="en-IN" sz="1100"/>
        </a:p>
      </xdr:txBody>
    </xdr:sp>
    <xdr:clientData/>
  </xdr:twoCellAnchor>
  <xdr:twoCellAnchor>
    <xdr:from>
      <xdr:col>11</xdr:col>
      <xdr:colOff>678180</xdr:colOff>
      <xdr:row>24</xdr:row>
      <xdr:rowOff>15240</xdr:rowOff>
    </xdr:from>
    <xdr:to>
      <xdr:col>18</xdr:col>
      <xdr:colOff>60960</xdr:colOff>
      <xdr:row>34</xdr:row>
      <xdr:rowOff>15240</xdr:rowOff>
    </xdr:to>
    <xdr:sp macro="" textlink="">
      <xdr:nvSpPr>
        <xdr:cNvPr id="6" name="TextBox 5">
          <a:extLst>
            <a:ext uri="{FF2B5EF4-FFF2-40B4-BE49-F238E27FC236}">
              <a16:creationId xmlns:a16="http://schemas.microsoft.com/office/drawing/2014/main" id="{D836BD5D-8521-B486-B7C9-56146B3086CD}"/>
            </a:ext>
          </a:extLst>
        </xdr:cNvPr>
        <xdr:cNvSpPr txBox="1"/>
      </xdr:nvSpPr>
      <xdr:spPr>
        <a:xfrm>
          <a:off x="7437120" y="4404360"/>
          <a:ext cx="4716780" cy="18288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latin typeface="Arial" panose="020B0604020202020204" pitchFamily="34" charset="0"/>
              <a:cs typeface="Arial" panose="020B0604020202020204" pitchFamily="34" charset="0"/>
            </a:rPr>
            <a:t>Player:</a:t>
          </a:r>
          <a:r>
            <a:rPr lang="en-IN">
              <a:latin typeface="Arial" panose="020B0604020202020204" pitchFamily="34" charset="0"/>
              <a:cs typeface="Arial" panose="020B0604020202020204" pitchFamily="34" charset="0"/>
            </a:rPr>
            <a:t> Jake Wells (JW Wells)</a:t>
          </a:r>
        </a:p>
        <a:p>
          <a:r>
            <a:rPr lang="en-IN" b="1">
              <a:latin typeface="Arial" panose="020B0604020202020204" pitchFamily="34" charset="0"/>
              <a:cs typeface="Arial" panose="020B0604020202020204" pitchFamily="34" charset="0"/>
            </a:rPr>
            <a:t>Team:</a:t>
          </a:r>
          <a:r>
            <a:rPr lang="en-IN">
              <a:latin typeface="Arial" panose="020B0604020202020204" pitchFamily="34" charset="0"/>
              <a:cs typeface="Arial" panose="020B0604020202020204" pitchFamily="34" charset="0"/>
            </a:rPr>
            <a:t> Hobart Hurricanes</a:t>
          </a:r>
        </a:p>
        <a:p>
          <a:r>
            <a:rPr lang="en-IN" b="1">
              <a:latin typeface="Arial" panose="020B0604020202020204" pitchFamily="34" charset="0"/>
              <a:cs typeface="Arial" panose="020B0604020202020204" pitchFamily="34" charset="0"/>
            </a:rPr>
            <a:t>Batting Average:</a:t>
          </a:r>
          <a:r>
            <a:rPr lang="en-IN">
              <a:latin typeface="Arial" panose="020B0604020202020204" pitchFamily="34" charset="0"/>
              <a:cs typeface="Arial" panose="020B0604020202020204" pitchFamily="34" charset="0"/>
            </a:rPr>
            <a:t> </a:t>
          </a:r>
          <a:r>
            <a:rPr lang="en-IN" b="1">
              <a:latin typeface="Arial" panose="020B0604020202020204" pitchFamily="34" charset="0"/>
              <a:cs typeface="Arial" panose="020B0604020202020204" pitchFamily="34" charset="0"/>
            </a:rPr>
            <a:t>68.28</a:t>
          </a:r>
          <a:endParaRPr lang="en-IN">
            <a:latin typeface="Arial" panose="020B0604020202020204" pitchFamily="34" charset="0"/>
            <a:cs typeface="Arial" panose="020B0604020202020204" pitchFamily="34" charset="0"/>
          </a:endParaRPr>
        </a:p>
        <a:p>
          <a:r>
            <a:rPr lang="en-IN" b="1">
              <a:latin typeface="Arial" panose="020B0604020202020204" pitchFamily="34" charset="0"/>
              <a:cs typeface="Arial" panose="020B0604020202020204" pitchFamily="34" charset="0"/>
            </a:rPr>
            <a:t>Not Outs:</a:t>
          </a:r>
          <a:r>
            <a:rPr lang="en-IN">
              <a:latin typeface="Arial" panose="020B0604020202020204" pitchFamily="34" charset="0"/>
              <a:cs typeface="Arial" panose="020B0604020202020204" pitchFamily="34" charset="0"/>
            </a:rPr>
            <a:t> </a:t>
          </a:r>
          <a:r>
            <a:rPr lang="en-IN" b="1">
              <a:latin typeface="Arial" panose="020B0604020202020204" pitchFamily="34" charset="0"/>
              <a:cs typeface="Arial" panose="020B0604020202020204" pitchFamily="34" charset="0"/>
            </a:rPr>
            <a:t>7 times</a:t>
          </a:r>
          <a:endParaRPr lang="en-IN">
            <a:latin typeface="Arial" panose="020B0604020202020204" pitchFamily="34" charset="0"/>
            <a:cs typeface="Arial" panose="020B0604020202020204" pitchFamily="34" charset="0"/>
          </a:endParaRPr>
        </a:p>
        <a:p>
          <a:r>
            <a:rPr lang="en-IN" baseline="0">
              <a:latin typeface="Arial" panose="020B0604020202020204" pitchFamily="34" charset="0"/>
              <a:cs typeface="Arial" panose="020B0604020202020204" pitchFamily="34" charset="0"/>
            </a:rPr>
            <a:t> </a:t>
          </a:r>
          <a:r>
            <a:rPr lang="en-IN">
              <a:latin typeface="Arial" panose="020B0604020202020204" pitchFamily="34" charset="0"/>
              <a:cs typeface="Arial" panose="020B0604020202020204" pitchFamily="34" charset="0"/>
            </a:rPr>
            <a:t> </a:t>
          </a:r>
          <a:r>
            <a:rPr lang="en-IN" i="1">
              <a:latin typeface="Arial" panose="020B0604020202020204" pitchFamily="34" charset="0"/>
              <a:cs typeface="Arial" panose="020B0604020202020204" pitchFamily="34" charset="0"/>
            </a:rPr>
            <a:t>JW Wells showed outstanding consistency — remaining not out in half of his innings and finishing with the best average in the league.</a:t>
          </a:r>
          <a:endParaRPr lang="en-IN">
            <a:latin typeface="Arial" panose="020B0604020202020204" pitchFamily="34" charset="0"/>
            <a:cs typeface="Arial" panose="020B0604020202020204" pitchFamily="34" charset="0"/>
          </a:endParaRP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411480</xdr:colOff>
      <xdr:row>1</xdr:row>
      <xdr:rowOff>76200</xdr:rowOff>
    </xdr:from>
    <xdr:to>
      <xdr:col>21</xdr:col>
      <xdr:colOff>670560</xdr:colOff>
      <xdr:row>9</xdr:row>
      <xdr:rowOff>7620</xdr:rowOff>
    </xdr:to>
    <xdr:sp macro="" textlink="">
      <xdr:nvSpPr>
        <xdr:cNvPr id="2" name="TextBox 1">
          <a:extLst>
            <a:ext uri="{FF2B5EF4-FFF2-40B4-BE49-F238E27FC236}">
              <a16:creationId xmlns:a16="http://schemas.microsoft.com/office/drawing/2014/main" id="{8A8F36C8-4312-9625-465E-0766D4489CDA}"/>
            </a:ext>
          </a:extLst>
        </xdr:cNvPr>
        <xdr:cNvSpPr txBox="1"/>
      </xdr:nvSpPr>
      <xdr:spPr>
        <a:xfrm>
          <a:off x="9357360" y="259080"/>
          <a:ext cx="5280660" cy="139446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3 </a:t>
          </a:r>
          <a:r>
            <a:rPr lang="en-IN"/>
            <a:t>Which Player Achieves the Best Balance Between Strike Rate and Batting Average?</a:t>
          </a:r>
          <a:endParaRPr lang="en-IN" sz="1100"/>
        </a:p>
        <a:p>
          <a:endParaRPr lang="en-IN" sz="1100"/>
        </a:p>
        <a:p>
          <a:r>
            <a:rPr lang="en-IN" sz="1100"/>
            <a:t>4 </a:t>
          </a:r>
          <a:r>
            <a:rPr lang="en-IN"/>
            <a:t>Which players consistently make their innings count with big scores?</a:t>
          </a:r>
        </a:p>
        <a:p>
          <a:endParaRPr lang="en-IN" sz="1100"/>
        </a:p>
        <a:p>
          <a:endParaRPr lang="en-IN" sz="1100"/>
        </a:p>
      </xdr:txBody>
    </xdr:sp>
    <xdr:clientData/>
  </xdr:twoCellAnchor>
  <xdr:twoCellAnchor>
    <xdr:from>
      <xdr:col>0</xdr:col>
      <xdr:colOff>213360</xdr:colOff>
      <xdr:row>11</xdr:row>
      <xdr:rowOff>129540</xdr:rowOff>
    </xdr:from>
    <xdr:to>
      <xdr:col>6</xdr:col>
      <xdr:colOff>83820</xdr:colOff>
      <xdr:row>25</xdr:row>
      <xdr:rowOff>175260</xdr:rowOff>
    </xdr:to>
    <xdr:graphicFrame macro="">
      <xdr:nvGraphicFramePr>
        <xdr:cNvPr id="3" name="Chart 2">
          <a:extLst>
            <a:ext uri="{FF2B5EF4-FFF2-40B4-BE49-F238E27FC236}">
              <a16:creationId xmlns:a16="http://schemas.microsoft.com/office/drawing/2014/main" id="{981989B9-E0E0-C015-5319-0C1FE1B8E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396240</xdr:colOff>
      <xdr:row>12</xdr:row>
      <xdr:rowOff>99060</xdr:rowOff>
    </xdr:from>
    <xdr:to>
      <xdr:col>14</xdr:col>
      <xdr:colOff>274320</xdr:colOff>
      <xdr:row>29</xdr:row>
      <xdr:rowOff>30480</xdr:rowOff>
    </xdr:to>
    <xdr:graphicFrame macro="">
      <xdr:nvGraphicFramePr>
        <xdr:cNvPr id="4" name="Chart 3">
          <a:extLst>
            <a:ext uri="{FF2B5EF4-FFF2-40B4-BE49-F238E27FC236}">
              <a16:creationId xmlns:a16="http://schemas.microsoft.com/office/drawing/2014/main" id="{D907927A-21CC-A51F-16CB-8CD648CADD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0</xdr:colOff>
      <xdr:row>27</xdr:row>
      <xdr:rowOff>74940</xdr:rowOff>
    </xdr:from>
    <xdr:ext cx="4602480" cy="1297919"/>
    <xdr:sp macro="" textlink="">
      <xdr:nvSpPr>
        <xdr:cNvPr id="5" name="TextBox 4">
          <a:extLst>
            <a:ext uri="{FF2B5EF4-FFF2-40B4-BE49-F238E27FC236}">
              <a16:creationId xmlns:a16="http://schemas.microsoft.com/office/drawing/2014/main" id="{9D5BFC82-08D2-425B-C838-EF0C10A3B906}"/>
            </a:ext>
          </a:extLst>
        </xdr:cNvPr>
        <xdr:cNvSpPr txBox="1"/>
      </xdr:nvSpPr>
      <xdr:spPr>
        <a:xfrm rot="10800000" flipH="1" flipV="1">
          <a:off x="0" y="5012700"/>
          <a:ext cx="4602480" cy="1297919"/>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b="1"/>
            <a:t>MS Wade</a:t>
          </a:r>
          <a:r>
            <a:rPr lang="en-IN"/>
            <a:t> had the </a:t>
          </a:r>
          <a:r>
            <a:rPr lang="en-IN" b="1"/>
            <a:t>highest strike rate (171)</a:t>
          </a:r>
          <a:r>
            <a:rPr lang="en-IN"/>
            <a:t>, showing explosive hitting.</a:t>
          </a:r>
        </a:p>
        <a:p>
          <a:r>
            <a:rPr lang="en-IN" b="1"/>
            <a:t>JW Wells</a:t>
          </a:r>
          <a:r>
            <a:rPr lang="en-IN"/>
            <a:t> led with the </a:t>
          </a:r>
          <a:r>
            <a:rPr lang="en-IN" b="1"/>
            <a:t>best batting average (68)</a:t>
          </a:r>
          <a:r>
            <a:rPr lang="en-IN"/>
            <a:t>, proving consistent performance.</a:t>
          </a:r>
        </a:p>
        <a:p>
          <a:r>
            <a:rPr lang="en-IN" b="1"/>
            <a:t>Mohammad Nabi</a:t>
          </a:r>
          <a:r>
            <a:rPr lang="en-IN"/>
            <a:t> (160 SR, 53 Avg) showed a strong balance of both.</a:t>
          </a:r>
        </a:p>
        <a:p>
          <a:r>
            <a:rPr lang="en-IN"/>
            <a:t>Overall, players maintained a </a:t>
          </a:r>
          <a:r>
            <a:rPr lang="en-IN" b="1"/>
            <a:t>good mix of power and reliability</a:t>
          </a:r>
          <a:r>
            <a:rPr lang="en-IN"/>
            <a:t>, with an average SR of </a:t>
          </a:r>
          <a:r>
            <a:rPr lang="en-IN" b="1"/>
            <a:t>146</a:t>
          </a:r>
          <a:r>
            <a:rPr lang="en-IN"/>
            <a:t> and Avg of </a:t>
          </a:r>
          <a:r>
            <a:rPr lang="en-IN" b="1"/>
            <a:t>55</a:t>
          </a:r>
          <a:r>
            <a:rPr lang="en-IN"/>
            <a:t>.</a:t>
          </a:r>
        </a:p>
        <a:p>
          <a:endParaRPr lang="en-IN" sz="1100"/>
        </a:p>
      </xdr:txBody>
    </xdr:sp>
    <xdr:clientData/>
  </xdr:oneCellAnchor>
  <xdr:twoCellAnchor>
    <xdr:from>
      <xdr:col>7</xdr:col>
      <xdr:colOff>22860</xdr:colOff>
      <xdr:row>31</xdr:row>
      <xdr:rowOff>45720</xdr:rowOff>
    </xdr:from>
    <xdr:to>
      <xdr:col>13</xdr:col>
      <xdr:colOff>312420</xdr:colOff>
      <xdr:row>39</xdr:row>
      <xdr:rowOff>152400</xdr:rowOff>
    </xdr:to>
    <xdr:sp macro="" textlink="">
      <xdr:nvSpPr>
        <xdr:cNvPr id="7" name="TextBox 6">
          <a:extLst>
            <a:ext uri="{FF2B5EF4-FFF2-40B4-BE49-F238E27FC236}">
              <a16:creationId xmlns:a16="http://schemas.microsoft.com/office/drawing/2014/main" id="{2C23071C-059A-8EF2-F8CA-E3D15DCB42F4}"/>
            </a:ext>
          </a:extLst>
        </xdr:cNvPr>
        <xdr:cNvSpPr txBox="1"/>
      </xdr:nvSpPr>
      <xdr:spPr>
        <a:xfrm>
          <a:off x="5242560" y="5715000"/>
          <a:ext cx="4015740" cy="156972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AD Hales</a:t>
          </a:r>
          <a:r>
            <a:rPr lang="en-IN"/>
            <a:t> and </a:t>
          </a:r>
          <a:r>
            <a:rPr lang="en-IN" b="1"/>
            <a:t>MP Stoinis</a:t>
          </a:r>
          <a:r>
            <a:rPr lang="en-IN"/>
            <a:t> led the chart with </a:t>
          </a:r>
          <a:r>
            <a:rPr lang="en-IN" b="1"/>
            <a:t>6 fifties each</a:t>
          </a:r>
          <a:r>
            <a:rPr lang="en-IN"/>
            <a:t>, showing consistent top-order performances.</a:t>
          </a:r>
          <a:br>
            <a:rPr lang="en-IN"/>
          </a:br>
          <a:r>
            <a:rPr lang="en-IN" b="1"/>
            <a:t>Stoinis</a:t>
          </a:r>
          <a:r>
            <a:rPr lang="en-IN"/>
            <a:t> further impressed as the </a:t>
          </a:r>
          <a:r>
            <a:rPr lang="en-IN" b="1"/>
            <a:t>only player to score a century</a:t>
          </a:r>
          <a:r>
            <a:rPr lang="en-IN"/>
            <a:t>, proving his match-winning capability.</a:t>
          </a:r>
          <a:br>
            <a:rPr lang="en-IN"/>
          </a:br>
          <a:r>
            <a:rPr lang="en-IN"/>
            <a:t>Others like </a:t>
          </a:r>
          <a:r>
            <a:rPr lang="en-IN" b="1"/>
            <a:t>Philippe</a:t>
          </a:r>
          <a:r>
            <a:rPr lang="en-IN"/>
            <a:t>, </a:t>
          </a:r>
          <a:r>
            <a:rPr lang="en-IN" b="1"/>
            <a:t>Salt</a:t>
          </a:r>
          <a:r>
            <a:rPr lang="en-IN"/>
            <a:t>, and </a:t>
          </a:r>
          <a:r>
            <a:rPr lang="en-IN" b="1"/>
            <a:t>Wells</a:t>
          </a:r>
          <a:r>
            <a:rPr lang="en-IN"/>
            <a:t> maintained steady form with </a:t>
          </a:r>
          <a:r>
            <a:rPr lang="en-IN" b="1"/>
            <a:t>4–5 fifties</a:t>
          </a:r>
          <a:r>
            <a:rPr lang="en-IN"/>
            <a:t> each.</a:t>
          </a:r>
          <a:br>
            <a:rPr lang="en-IN"/>
          </a:br>
          <a:r>
            <a:rPr lang="en-IN"/>
            <a:t>Overall, players displayed </a:t>
          </a:r>
          <a:r>
            <a:rPr lang="en-IN" b="1"/>
            <a:t>strong consistency</a:t>
          </a:r>
          <a:r>
            <a:rPr lang="en-IN"/>
            <a:t>, averaging nearly </a:t>
          </a:r>
          <a:r>
            <a:rPr lang="en-IN" b="1"/>
            <a:t>one fifty every two innings</a:t>
          </a:r>
          <a:r>
            <a:rPr lang="en-IN"/>
            <a:t> — a sign of reliable and impactful batting.</a:t>
          </a:r>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213360</xdr:colOff>
      <xdr:row>1</xdr:row>
      <xdr:rowOff>53340</xdr:rowOff>
    </xdr:from>
    <xdr:to>
      <xdr:col>6</xdr:col>
      <xdr:colOff>594360</xdr:colOff>
      <xdr:row>9</xdr:row>
      <xdr:rowOff>76200</xdr:rowOff>
    </xdr:to>
    <xdr:sp macro="" textlink="">
      <xdr:nvSpPr>
        <xdr:cNvPr id="2" name="TextBox 1">
          <a:extLst>
            <a:ext uri="{FF2B5EF4-FFF2-40B4-BE49-F238E27FC236}">
              <a16:creationId xmlns:a16="http://schemas.microsoft.com/office/drawing/2014/main" id="{846E2C79-0E1A-54E6-255E-3C249BB115FF}"/>
            </a:ext>
          </a:extLst>
        </xdr:cNvPr>
        <xdr:cNvSpPr txBox="1"/>
      </xdr:nvSpPr>
      <xdr:spPr>
        <a:xfrm>
          <a:off x="213360" y="236220"/>
          <a:ext cx="4038600" cy="14859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Team-wise Comparison</a:t>
          </a:r>
        </a:p>
        <a:p>
          <a:endParaRPr lang="en-IN" sz="1100"/>
        </a:p>
        <a:p>
          <a:r>
            <a:rPr lang="en-IN"/>
            <a:t>5 Analyze each team’s top two players to show their contribution to the team’s total runs?</a:t>
          </a:r>
          <a:endParaRPr lang="en-IN" sz="1100"/>
        </a:p>
        <a:p>
          <a:endParaRPr lang="en-IN" sz="1100"/>
        </a:p>
        <a:p>
          <a:r>
            <a:rPr lang="en-IN" sz="1100"/>
            <a:t>6 What is the average strike rate per team?</a:t>
          </a:r>
        </a:p>
        <a:p>
          <a:endParaRPr lang="en-IN" sz="1100"/>
        </a:p>
        <a:p>
          <a:endParaRPr lang="en-IN" sz="1100"/>
        </a:p>
      </xdr:txBody>
    </xdr:sp>
    <xdr:clientData/>
  </xdr:twoCellAnchor>
  <xdr:twoCellAnchor>
    <xdr:from>
      <xdr:col>10</xdr:col>
      <xdr:colOff>601980</xdr:colOff>
      <xdr:row>11</xdr:row>
      <xdr:rowOff>83820</xdr:rowOff>
    </xdr:from>
    <xdr:to>
      <xdr:col>18</xdr:col>
      <xdr:colOff>15240</xdr:colOff>
      <xdr:row>28</xdr:row>
      <xdr:rowOff>7620</xdr:rowOff>
    </xdr:to>
    <xdr:graphicFrame macro="">
      <xdr:nvGraphicFramePr>
        <xdr:cNvPr id="3" name="Chart 2">
          <a:extLst>
            <a:ext uri="{FF2B5EF4-FFF2-40B4-BE49-F238E27FC236}">
              <a16:creationId xmlns:a16="http://schemas.microsoft.com/office/drawing/2014/main" id="{A3BAA891-738C-4805-3F23-4444AEDD16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129540</xdr:colOff>
      <xdr:row>28</xdr:row>
      <xdr:rowOff>114300</xdr:rowOff>
    </xdr:from>
    <xdr:to>
      <xdr:col>7</xdr:col>
      <xdr:colOff>274320</xdr:colOff>
      <xdr:row>39</xdr:row>
      <xdr:rowOff>106680</xdr:rowOff>
    </xdr:to>
    <xdr:sp macro="" textlink="">
      <xdr:nvSpPr>
        <xdr:cNvPr id="5" name="TextBox 4">
          <a:extLst>
            <a:ext uri="{FF2B5EF4-FFF2-40B4-BE49-F238E27FC236}">
              <a16:creationId xmlns:a16="http://schemas.microsoft.com/office/drawing/2014/main" id="{909FF296-E687-6CA8-D7CA-081ADF32E285}"/>
            </a:ext>
          </a:extLst>
        </xdr:cNvPr>
        <xdr:cNvSpPr txBox="1"/>
      </xdr:nvSpPr>
      <xdr:spPr>
        <a:xfrm>
          <a:off x="129540" y="5234940"/>
          <a:ext cx="4411980" cy="200406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Stars (1096 runs)</a:t>
          </a:r>
          <a:r>
            <a:rPr lang="en-IN"/>
            <a:t> and </a:t>
          </a:r>
          <a:r>
            <a:rPr lang="en-IN" b="1"/>
            <a:t>Hurricanes (1054 runs)</a:t>
          </a:r>
          <a:r>
            <a:rPr lang="en-IN"/>
            <a:t> lead with strong team contributions.</a:t>
          </a:r>
        </a:p>
        <a:p>
          <a:r>
            <a:rPr lang="en-IN"/>
            <a:t>Top performers like </a:t>
          </a:r>
          <a:r>
            <a:rPr lang="en-IN" b="1"/>
            <a:t>MP Stoinis (705)</a:t>
          </a:r>
          <a:r>
            <a:rPr lang="en-IN"/>
            <a:t> and </a:t>
          </a:r>
          <a:r>
            <a:rPr lang="en-IN" b="1"/>
            <a:t>AD Hales (576)</a:t>
          </a:r>
          <a:r>
            <a:rPr lang="en-IN"/>
            <a:t> drove their teams’ success.</a:t>
          </a:r>
        </a:p>
        <a:p>
          <a:r>
            <a:rPr lang="en-IN"/>
            <a:t>Teams with multiple consistent scorers generally dominated totals, highlighting the importance of depth over a single star.</a:t>
          </a:r>
        </a:p>
        <a:p>
          <a:endParaRPr lang="en-IN" sz="1100"/>
        </a:p>
      </xdr:txBody>
    </xdr:sp>
    <xdr:clientData/>
  </xdr:twoCellAnchor>
  <xdr:twoCellAnchor>
    <xdr:from>
      <xdr:col>10</xdr:col>
      <xdr:colOff>548640</xdr:colOff>
      <xdr:row>28</xdr:row>
      <xdr:rowOff>60960</xdr:rowOff>
    </xdr:from>
    <xdr:to>
      <xdr:col>17</xdr:col>
      <xdr:colOff>579120</xdr:colOff>
      <xdr:row>35</xdr:row>
      <xdr:rowOff>137160</xdr:rowOff>
    </xdr:to>
    <xdr:sp macro="" textlink="">
      <xdr:nvSpPr>
        <xdr:cNvPr id="6" name="TextBox 5">
          <a:extLst>
            <a:ext uri="{FF2B5EF4-FFF2-40B4-BE49-F238E27FC236}">
              <a16:creationId xmlns:a16="http://schemas.microsoft.com/office/drawing/2014/main" id="{BD03D636-6E2B-6155-50AD-647EA7C4A19C}"/>
            </a:ext>
          </a:extLst>
        </xdr:cNvPr>
        <xdr:cNvSpPr txBox="1"/>
      </xdr:nvSpPr>
      <xdr:spPr>
        <a:xfrm>
          <a:off x="7399020" y="5181600"/>
          <a:ext cx="4533900" cy="135636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Strikers (146)</a:t>
          </a:r>
          <a:r>
            <a:rPr lang="en-IN"/>
            <a:t> and </a:t>
          </a:r>
          <a:r>
            <a:rPr lang="en-IN" b="1"/>
            <a:t>Renegades (142)</a:t>
          </a:r>
          <a:r>
            <a:rPr lang="en-IN"/>
            <a:t> lead with the fastest scoring rates.</a:t>
          </a:r>
        </a:p>
        <a:p>
          <a:r>
            <a:rPr lang="en-IN" b="1"/>
            <a:t>Stars (141)</a:t>
          </a:r>
          <a:r>
            <a:rPr lang="en-IN"/>
            <a:t> and </a:t>
          </a:r>
          <a:r>
            <a:rPr lang="en-IN" b="1"/>
            <a:t>Scorchers (137)</a:t>
          </a:r>
          <a:r>
            <a:rPr lang="en-IN"/>
            <a:t> maintain a strong, steady pace.</a:t>
          </a:r>
        </a:p>
        <a:p>
          <a:r>
            <a:rPr lang="en-IN" b="1"/>
            <a:t>Hurricanes (136)</a:t>
          </a:r>
          <a:r>
            <a:rPr lang="en-IN"/>
            <a:t> show consistent scoring but at a slightly slower tempo.</a:t>
          </a:r>
        </a:p>
        <a:p>
          <a:r>
            <a:rPr lang="en-IN"/>
            <a:t>Overall, teams balance </a:t>
          </a:r>
          <a:r>
            <a:rPr lang="en-IN" b="1"/>
            <a:t>speed and stability</a:t>
          </a:r>
          <a:r>
            <a:rPr lang="en-IN"/>
            <a:t> to optimize their totals.</a:t>
          </a:r>
        </a:p>
        <a:p>
          <a:endParaRPr lang="en-IN" sz="1100"/>
        </a:p>
      </xdr:txBody>
    </xdr:sp>
    <xdr:clientData/>
  </xdr:twoCellAnchor>
  <xdr:twoCellAnchor>
    <xdr:from>
      <xdr:col>0</xdr:col>
      <xdr:colOff>0</xdr:colOff>
      <xdr:row>11</xdr:row>
      <xdr:rowOff>163830</xdr:rowOff>
    </xdr:from>
    <xdr:to>
      <xdr:col>7</xdr:col>
      <xdr:colOff>304800</xdr:colOff>
      <xdr:row>26</xdr:row>
      <xdr:rowOff>163830</xdr:rowOff>
    </xdr:to>
    <xdr:graphicFrame macro="">
      <xdr:nvGraphicFramePr>
        <xdr:cNvPr id="7" name="Chart 6">
          <a:extLst>
            <a:ext uri="{FF2B5EF4-FFF2-40B4-BE49-F238E27FC236}">
              <a16:creationId xmlns:a16="http://schemas.microsoft.com/office/drawing/2014/main" id="{A6E80838-FF9C-8F56-728A-940E741FE3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91440</xdr:colOff>
      <xdr:row>0</xdr:row>
      <xdr:rowOff>91440</xdr:rowOff>
    </xdr:from>
    <xdr:to>
      <xdr:col>7</xdr:col>
      <xdr:colOff>441960</xdr:colOff>
      <xdr:row>7</xdr:row>
      <xdr:rowOff>7620</xdr:rowOff>
    </xdr:to>
    <xdr:sp macro="" textlink="">
      <xdr:nvSpPr>
        <xdr:cNvPr id="2" name="TextBox 1">
          <a:extLst>
            <a:ext uri="{FF2B5EF4-FFF2-40B4-BE49-F238E27FC236}">
              <a16:creationId xmlns:a16="http://schemas.microsoft.com/office/drawing/2014/main" id="{49208A3F-D349-66BB-F89A-F751E127A657}"/>
            </a:ext>
          </a:extLst>
        </xdr:cNvPr>
        <xdr:cNvSpPr txBox="1"/>
      </xdr:nvSpPr>
      <xdr:spPr>
        <a:xfrm>
          <a:off x="91440" y="91440"/>
          <a:ext cx="4617720" cy="119634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7 Which team had the highest number of half-centuries (50s)?</a:t>
          </a:r>
        </a:p>
        <a:p>
          <a:endParaRPr lang="en-IN" sz="1100"/>
        </a:p>
        <a:p>
          <a:endParaRPr lang="en-IN" sz="1100"/>
        </a:p>
        <a:p>
          <a:endParaRPr lang="en-IN" sz="1100"/>
        </a:p>
      </xdr:txBody>
    </xdr:sp>
    <xdr:clientData/>
  </xdr:twoCellAnchor>
  <xdr:twoCellAnchor>
    <xdr:from>
      <xdr:col>1</xdr:col>
      <xdr:colOff>594360</xdr:colOff>
      <xdr:row>9</xdr:row>
      <xdr:rowOff>30480</xdr:rowOff>
    </xdr:from>
    <xdr:to>
      <xdr:col>9</xdr:col>
      <xdr:colOff>419100</xdr:colOff>
      <xdr:row>25</xdr:row>
      <xdr:rowOff>30480</xdr:rowOff>
    </xdr:to>
    <xdr:graphicFrame macro="">
      <xdr:nvGraphicFramePr>
        <xdr:cNvPr id="3" name="Chart 2">
          <a:extLst>
            <a:ext uri="{FF2B5EF4-FFF2-40B4-BE49-F238E27FC236}">
              <a16:creationId xmlns:a16="http://schemas.microsoft.com/office/drawing/2014/main" id="{3F5EBDD8-21AD-4D6B-B303-2777026D58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129540</xdr:colOff>
      <xdr:row>27</xdr:row>
      <xdr:rowOff>76200</xdr:rowOff>
    </xdr:from>
    <xdr:to>
      <xdr:col>11</xdr:col>
      <xdr:colOff>266700</xdr:colOff>
      <xdr:row>36</xdr:row>
      <xdr:rowOff>129540</xdr:rowOff>
    </xdr:to>
    <xdr:sp macro="" textlink="">
      <xdr:nvSpPr>
        <xdr:cNvPr id="8" name="TextBox 7">
          <a:extLst>
            <a:ext uri="{FF2B5EF4-FFF2-40B4-BE49-F238E27FC236}">
              <a16:creationId xmlns:a16="http://schemas.microsoft.com/office/drawing/2014/main" id="{01839520-6A70-360F-2B78-62C902C279C1}"/>
            </a:ext>
          </a:extLst>
        </xdr:cNvPr>
        <xdr:cNvSpPr txBox="1"/>
      </xdr:nvSpPr>
      <xdr:spPr>
        <a:xfrm>
          <a:off x="1348740" y="5013960"/>
          <a:ext cx="5463540" cy="169926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Stars (24)</a:t>
          </a:r>
          <a:r>
            <a:rPr lang="en-IN"/>
            <a:t> lead with the most half-centuries, followed by </a:t>
          </a:r>
          <a:r>
            <a:rPr lang="en-IN" b="1"/>
            <a:t>Hurricanes (16)</a:t>
          </a:r>
          <a:r>
            <a:rPr lang="en-IN"/>
            <a:t> and </a:t>
          </a:r>
          <a:r>
            <a:rPr lang="en-IN" b="1"/>
            <a:t>Scorchers (14)</a:t>
          </a:r>
          <a:r>
            <a:rPr lang="en-IN"/>
            <a:t>.</a:t>
          </a:r>
        </a:p>
        <a:p>
          <a:r>
            <a:rPr lang="en-IN"/>
            <a:t>Teams like </a:t>
          </a:r>
          <a:r>
            <a:rPr lang="en-IN" b="1"/>
            <a:t>Renegades, Thunder, and Strikers</a:t>
          </a:r>
          <a:r>
            <a:rPr lang="en-IN"/>
            <a:t> contributed fewer 50s, highlighting reliance on key players.</a:t>
          </a:r>
        </a:p>
        <a:p>
          <a:r>
            <a:rPr lang="en-IN"/>
            <a:t>Consistent scoring across multiple players helped the top teams dominate totals.</a:t>
          </a:r>
        </a:p>
        <a:p>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10</xdr:row>
      <xdr:rowOff>175260</xdr:rowOff>
    </xdr:from>
    <xdr:to>
      <xdr:col>5</xdr:col>
      <xdr:colOff>381000</xdr:colOff>
      <xdr:row>24</xdr:row>
      <xdr:rowOff>22860</xdr:rowOff>
    </xdr:to>
    <xdr:graphicFrame macro="">
      <xdr:nvGraphicFramePr>
        <xdr:cNvPr id="2" name="Chart 1">
          <a:extLst>
            <a:ext uri="{FF2B5EF4-FFF2-40B4-BE49-F238E27FC236}">
              <a16:creationId xmlns:a16="http://schemas.microsoft.com/office/drawing/2014/main" id="{C87CBF99-6737-41A4-8631-D239249EA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3</xdr:col>
      <xdr:colOff>22860</xdr:colOff>
      <xdr:row>10</xdr:row>
      <xdr:rowOff>121920</xdr:rowOff>
    </xdr:to>
    <xdr:sp macro="" textlink="">
      <xdr:nvSpPr>
        <xdr:cNvPr id="3" name="TextBox 2">
          <a:extLst>
            <a:ext uri="{FF2B5EF4-FFF2-40B4-BE49-F238E27FC236}">
              <a16:creationId xmlns:a16="http://schemas.microsoft.com/office/drawing/2014/main" id="{3D9D6A03-9B6D-43B4-9716-68251DB23DA1}"/>
            </a:ext>
          </a:extLst>
        </xdr:cNvPr>
        <xdr:cNvSpPr txBox="1"/>
      </xdr:nvSpPr>
      <xdr:spPr>
        <a:xfrm>
          <a:off x="0" y="0"/>
          <a:ext cx="2590800" cy="195072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a:p>
        <a:p>
          <a:r>
            <a:rPr lang="en-IN" sz="1200"/>
            <a:t>8. Against which opposition were the Highest runs scored in single match?</a:t>
          </a:r>
        </a:p>
        <a:p>
          <a:endParaRPr lang="en-IN" sz="1200"/>
        </a:p>
        <a:p>
          <a:endParaRPr lang="en-IN" sz="1200"/>
        </a:p>
        <a:p>
          <a:endParaRPr lang="en-IN" sz="1200"/>
        </a:p>
        <a:p>
          <a:r>
            <a:rPr lang="en-IN" sz="1200"/>
            <a:t>9. How many centuries (100s) were scored in total, and by which players?</a:t>
          </a:r>
        </a:p>
      </xdr:txBody>
    </xdr:sp>
    <xdr:clientData/>
  </xdr:twoCellAnchor>
  <xdr:twoCellAnchor>
    <xdr:from>
      <xdr:col>5</xdr:col>
      <xdr:colOff>1188720</xdr:colOff>
      <xdr:row>10</xdr:row>
      <xdr:rowOff>106680</xdr:rowOff>
    </xdr:from>
    <xdr:to>
      <xdr:col>11</xdr:col>
      <xdr:colOff>327660</xdr:colOff>
      <xdr:row>23</xdr:row>
      <xdr:rowOff>175260</xdr:rowOff>
    </xdr:to>
    <xdr:graphicFrame macro="">
      <xdr:nvGraphicFramePr>
        <xdr:cNvPr id="4" name="Chart 3">
          <a:extLst>
            <a:ext uri="{FF2B5EF4-FFF2-40B4-BE49-F238E27FC236}">
              <a16:creationId xmlns:a16="http://schemas.microsoft.com/office/drawing/2014/main" id="{07DF02BC-3BA2-40E1-88C5-9BAE825D4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76200</xdr:colOff>
      <xdr:row>24</xdr:row>
      <xdr:rowOff>144780</xdr:rowOff>
    </xdr:from>
    <xdr:ext cx="4533900" cy="792480"/>
    <xdr:sp macro="" textlink="">
      <xdr:nvSpPr>
        <xdr:cNvPr id="5" name="TextBox 4">
          <a:extLst>
            <a:ext uri="{FF2B5EF4-FFF2-40B4-BE49-F238E27FC236}">
              <a16:creationId xmlns:a16="http://schemas.microsoft.com/office/drawing/2014/main" id="{DD5A2EE6-EE50-4999-8237-618039FFB516}"/>
            </a:ext>
          </a:extLst>
        </xdr:cNvPr>
        <xdr:cNvSpPr txBox="1"/>
      </xdr:nvSpPr>
      <xdr:spPr>
        <a:xfrm>
          <a:off x="76200" y="4533900"/>
          <a:ext cx="4533900" cy="79248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                               </a:t>
          </a:r>
          <a:r>
            <a:rPr lang="en-IN" sz="1100" b="1" u="sng"/>
            <a:t>Interpretations 11</a:t>
          </a:r>
        </a:p>
        <a:p>
          <a:endParaRPr lang="en-IN" sz="1100" b="1" u="sng"/>
        </a:p>
        <a:p>
          <a:r>
            <a:rPr lang="en-IN" sz="1100" b="1"/>
            <a:t>The Sixers lead with the tournament’s highest individual score of 147.</a:t>
          </a:r>
          <a:br>
            <a:rPr lang="en-IN" sz="1100"/>
          </a:br>
          <a:endParaRPr lang="en-IN" sz="1100"/>
        </a:p>
      </xdr:txBody>
    </xdr:sp>
    <xdr:clientData/>
  </xdr:oneCellAnchor>
  <xdr:oneCellAnchor>
    <xdr:from>
      <xdr:col>5</xdr:col>
      <xdr:colOff>1196340</xdr:colOff>
      <xdr:row>24</xdr:row>
      <xdr:rowOff>7620</xdr:rowOff>
    </xdr:from>
    <xdr:ext cx="4914900" cy="1463040"/>
    <xdr:sp macro="" textlink="">
      <xdr:nvSpPr>
        <xdr:cNvPr id="6" name="TextBox 5">
          <a:extLst>
            <a:ext uri="{FF2B5EF4-FFF2-40B4-BE49-F238E27FC236}">
              <a16:creationId xmlns:a16="http://schemas.microsoft.com/office/drawing/2014/main" id="{6174E108-8622-4962-87C6-54A4FBC53CF0}"/>
            </a:ext>
          </a:extLst>
        </xdr:cNvPr>
        <xdr:cNvSpPr txBox="1"/>
      </xdr:nvSpPr>
      <xdr:spPr>
        <a:xfrm>
          <a:off x="5814060" y="4396740"/>
          <a:ext cx="4914900" cy="146304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                     </a:t>
          </a:r>
          <a:r>
            <a:rPr lang="en-IN" sz="1100" b="1" u="sng"/>
            <a:t>Interpretattions 12</a:t>
          </a:r>
        </a:p>
        <a:p>
          <a:endParaRPr lang="en-IN" sz="1100" b="1" u="sng"/>
        </a:p>
        <a:p>
          <a:r>
            <a:rPr lang="en-IN" b="1"/>
            <a:t>Only four players scored centuries, </a:t>
          </a:r>
        </a:p>
        <a:p>
          <a:br>
            <a:rPr lang="en-IN"/>
          </a:br>
          <a:r>
            <a:rPr lang="en-IN" b="1"/>
            <a:t>These innings by Wade, Stoinis, Finch, and Short underline their ability to dominate and anchor matches for their teams.</a:t>
          </a:r>
          <a:endParaRPr lang="en-IN" sz="1100" b="1" u="sng"/>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22860</xdr:rowOff>
    </xdr:from>
    <xdr:ext cx="4304488" cy="953466"/>
    <xdr:sp macro="" textlink="">
      <xdr:nvSpPr>
        <xdr:cNvPr id="2" name="TextBox 1">
          <a:extLst>
            <a:ext uri="{FF2B5EF4-FFF2-40B4-BE49-F238E27FC236}">
              <a16:creationId xmlns:a16="http://schemas.microsoft.com/office/drawing/2014/main" id="{5FE3F260-B4D1-4BA0-BA50-867FDC879DCF}"/>
            </a:ext>
          </a:extLst>
        </xdr:cNvPr>
        <xdr:cNvSpPr txBox="1"/>
      </xdr:nvSpPr>
      <xdr:spPr>
        <a:xfrm flipH="1">
          <a:off x="0" y="22860"/>
          <a:ext cx="4304488" cy="953466"/>
        </a:xfrm>
        <a:prstGeom prst="rect">
          <a:avLst/>
        </a:prstGeom>
        <a:solidFill>
          <a:schemeClr val="tx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0"/>
            <a:t>10&gt;</a:t>
          </a:r>
          <a:r>
            <a:rPr lang="en-IN" sz="1100" b="0" baseline="0"/>
            <a:t> Boundries hitting abbilities and its contributions to total runs?1</a:t>
          </a:r>
        </a:p>
        <a:p>
          <a:endParaRPr lang="en-IN" sz="1100" b="0" baseline="0"/>
        </a:p>
        <a:p>
          <a:endParaRPr lang="en-IN" sz="1100" b="0" baseline="0"/>
        </a:p>
        <a:p>
          <a:r>
            <a:rPr lang="en-IN" sz="1100" b="0" baseline="0"/>
            <a:t>11&gt; Highest b</a:t>
          </a:r>
          <a:r>
            <a:rPr lang="en-IN" sz="1100" b="0" i="0" u="none" strike="noStrike">
              <a:solidFill>
                <a:schemeClr val="tx1"/>
              </a:solidFill>
              <a:effectLst/>
              <a:latin typeface="+mn-lt"/>
              <a:ea typeface="+mn-ea"/>
              <a:cs typeface="+mn-cs"/>
            </a:rPr>
            <a:t>atting partnerships </a:t>
          </a:r>
          <a:endParaRPr lang="en-IN" sz="1100" b="0"/>
        </a:p>
        <a:p>
          <a:pPr algn="l"/>
          <a:endParaRPr lang="en-IN" sz="1100"/>
        </a:p>
      </xdr:txBody>
    </xdr:sp>
    <xdr:clientData/>
  </xdr:oneCellAnchor>
  <xdr:oneCellAnchor>
    <xdr:from>
      <xdr:col>2</xdr:col>
      <xdr:colOff>170234</xdr:colOff>
      <xdr:row>27</xdr:row>
      <xdr:rowOff>113490</xdr:rowOff>
    </xdr:from>
    <xdr:ext cx="5698788" cy="1418616"/>
    <xdr:sp macro="" textlink="">
      <xdr:nvSpPr>
        <xdr:cNvPr id="3" name="TextBox 2">
          <a:extLst>
            <a:ext uri="{FF2B5EF4-FFF2-40B4-BE49-F238E27FC236}">
              <a16:creationId xmlns:a16="http://schemas.microsoft.com/office/drawing/2014/main" id="{A62DCD35-096C-452A-A57E-55D3924BD375}"/>
            </a:ext>
          </a:extLst>
        </xdr:cNvPr>
        <xdr:cNvSpPr txBox="1"/>
      </xdr:nvSpPr>
      <xdr:spPr>
        <a:xfrm>
          <a:off x="2821994" y="5051250"/>
          <a:ext cx="5698788" cy="1418616"/>
        </a:xfrm>
        <a:prstGeom prst="rect">
          <a:avLst/>
        </a:prstGeom>
        <a:solidFill>
          <a:schemeClr val="accent3">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100"/>
            <a:t>                                                </a:t>
          </a:r>
          <a:r>
            <a:rPr lang="en-IN" sz="1200" b="1" u="sng"/>
            <a:t>Interpretations</a:t>
          </a:r>
          <a:r>
            <a:rPr lang="en-IN" sz="1100" b="1" u="sng"/>
            <a:t> 13</a:t>
          </a:r>
        </a:p>
        <a:p>
          <a:pPr algn="l"/>
          <a:endParaRPr lang="en-IN" sz="1100" b="1" u="sng"/>
        </a:p>
        <a:p>
          <a:pPr algn="l"/>
          <a:r>
            <a:rPr lang="en-IN" sz="1100" b="1"/>
            <a:t>1&gt;  “Players like Banton, Bryant, and Lynn are pure power hitters —   more than 70% of their runs come from boundaries, indicating high strike rates but limited running between wickets.”</a:t>
          </a:r>
        </a:p>
        <a:p>
          <a:pPr algn="l"/>
          <a:endParaRPr lang="en-IN" sz="1100" b="1"/>
        </a:p>
        <a:p>
          <a:pPr algn="l"/>
          <a:r>
            <a:rPr lang="en-IN" sz="1100" b="1"/>
            <a:t>2&gt;</a:t>
          </a:r>
          <a:r>
            <a:rPr lang="en-IN" sz="1100" b="1" baseline="0"/>
            <a:t> "Players Like PD Salt </a:t>
          </a:r>
          <a:r>
            <a:rPr lang="en-IN" sz="1200" b="1"/>
            <a:t>maintain a strong boundary contribution while still building innings — valuable for stability and consistent scoring.”</a:t>
          </a:r>
        </a:p>
        <a:p>
          <a:pPr algn="l"/>
          <a:endParaRPr lang="en-IN" sz="1100" b="1"/>
        </a:p>
        <a:p>
          <a:pPr algn="l"/>
          <a:endParaRPr lang="en-IN" sz="1100" b="1"/>
        </a:p>
        <a:p>
          <a:pPr algn="l"/>
          <a:endParaRPr lang="en-IN" sz="1100" b="1"/>
        </a:p>
      </xdr:txBody>
    </xdr:sp>
    <xdr:clientData/>
  </xdr:oneCellAnchor>
  <xdr:oneCellAnchor>
    <xdr:from>
      <xdr:col>9</xdr:col>
      <xdr:colOff>308042</xdr:colOff>
      <xdr:row>27</xdr:row>
      <xdr:rowOff>64852</xdr:rowOff>
    </xdr:from>
    <xdr:ext cx="4693596" cy="1240276"/>
    <xdr:sp macro="" textlink="">
      <xdr:nvSpPr>
        <xdr:cNvPr id="4" name="TextBox 3">
          <a:extLst>
            <a:ext uri="{FF2B5EF4-FFF2-40B4-BE49-F238E27FC236}">
              <a16:creationId xmlns:a16="http://schemas.microsoft.com/office/drawing/2014/main" id="{46531242-D3FF-440C-A53C-F9E02933BEBE}"/>
            </a:ext>
          </a:extLst>
        </xdr:cNvPr>
        <xdr:cNvSpPr txBox="1"/>
      </xdr:nvSpPr>
      <xdr:spPr>
        <a:xfrm>
          <a:off x="8804342" y="5002612"/>
          <a:ext cx="4693596" cy="1240276"/>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                                      </a:t>
          </a:r>
          <a:r>
            <a:rPr lang="en-IN" sz="1100" b="1" u="sng"/>
            <a:t>Interpretations 14</a:t>
          </a:r>
        </a:p>
        <a:p>
          <a:endParaRPr lang="en-IN" sz="1100" b="1" u="sng"/>
        </a:p>
        <a:p>
          <a:r>
            <a:rPr lang="en-IN" sz="1100" b="1" u="none"/>
            <a:t>The strongest partnerships came from MP Stoinis–HWR Cartwright (207) and MS Wade–DJM Short (203), both surpassing the 200-run mark.</a:t>
          </a:r>
          <a:br>
            <a:rPr lang="en-IN" sz="1100" b="1" u="none"/>
          </a:br>
          <a:r>
            <a:rPr lang="en-IN" sz="1100" b="1" u="none"/>
            <a:t>These massive stands reflect how dominant top-order pairs can single-handedly shape match outcomes for their teams.</a:t>
          </a:r>
        </a:p>
        <a:p>
          <a:endParaRPr lang="en-IN" sz="1100" b="1" u="none"/>
        </a:p>
        <a:p>
          <a:endParaRPr lang="en-IN" sz="1100" b="1" u="sng"/>
        </a:p>
      </xdr:txBody>
    </xdr:sp>
    <xdr:clientData/>
  </xdr:oneCellAnchor>
  <xdr:twoCellAnchor>
    <xdr:from>
      <xdr:col>2</xdr:col>
      <xdr:colOff>235085</xdr:colOff>
      <xdr:row>10</xdr:row>
      <xdr:rowOff>160020</xdr:rowOff>
    </xdr:from>
    <xdr:to>
      <xdr:col>8</xdr:col>
      <xdr:colOff>510540</xdr:colOff>
      <xdr:row>26</xdr:row>
      <xdr:rowOff>40532</xdr:rowOff>
    </xdr:to>
    <xdr:graphicFrame macro="">
      <xdr:nvGraphicFramePr>
        <xdr:cNvPr id="5" name="Chart 4">
          <a:extLst>
            <a:ext uri="{FF2B5EF4-FFF2-40B4-BE49-F238E27FC236}">
              <a16:creationId xmlns:a16="http://schemas.microsoft.com/office/drawing/2014/main" id="{4CB2161B-B14C-4788-AFFE-D00DCE19A6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11</xdr:row>
      <xdr:rowOff>0</xdr:rowOff>
    </xdr:from>
    <xdr:to>
      <xdr:col>13</xdr:col>
      <xdr:colOff>640080</xdr:colOff>
      <xdr:row>26</xdr:row>
      <xdr:rowOff>0</xdr:rowOff>
    </xdr:to>
    <xdr:graphicFrame macro="">
      <xdr:nvGraphicFramePr>
        <xdr:cNvPr id="6" name="Chart 5">
          <a:extLst>
            <a:ext uri="{FF2B5EF4-FFF2-40B4-BE49-F238E27FC236}">
              <a16:creationId xmlns:a16="http://schemas.microsoft.com/office/drawing/2014/main" id="{E615D5AB-6D81-4C05-97DF-B4F32D99A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30480</xdr:rowOff>
    </xdr:from>
    <xdr:ext cx="3009900" cy="1097280"/>
    <xdr:sp macro="" textlink="">
      <xdr:nvSpPr>
        <xdr:cNvPr id="2" name="TextBox 1">
          <a:extLst>
            <a:ext uri="{FF2B5EF4-FFF2-40B4-BE49-F238E27FC236}">
              <a16:creationId xmlns:a16="http://schemas.microsoft.com/office/drawing/2014/main" id="{D1F067BC-4487-4891-A0E8-4EE26055A1E5}"/>
            </a:ext>
          </a:extLst>
        </xdr:cNvPr>
        <xdr:cNvSpPr txBox="1"/>
      </xdr:nvSpPr>
      <xdr:spPr>
        <a:xfrm>
          <a:off x="0" y="30480"/>
          <a:ext cx="3009900" cy="109728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12. Top Performers of the tournament</a:t>
          </a:r>
          <a:endParaRPr lang="en-IN" sz="1100" baseline="0"/>
        </a:p>
        <a:p>
          <a:endParaRPr lang="en-IN" sz="1100" baseline="0"/>
        </a:p>
        <a:p>
          <a:r>
            <a:rPr lang="en-IN" sz="1100" baseline="0"/>
            <a:t>13.  </a:t>
          </a:r>
          <a:r>
            <a:rPr lang="en-IN" sz="1100">
              <a:solidFill>
                <a:schemeClr val="tx1"/>
              </a:solidFill>
              <a:effectLst/>
              <a:latin typeface="+mn-lt"/>
              <a:ea typeface="+mn-ea"/>
              <a:cs typeface="+mn-cs"/>
            </a:rPr>
            <a:t>Worst Performers</a:t>
          </a:r>
          <a:r>
            <a:rPr lang="en-IN" sz="1100" baseline="0">
              <a:solidFill>
                <a:schemeClr val="tx1"/>
              </a:solidFill>
              <a:effectLst/>
              <a:latin typeface="+mn-lt"/>
              <a:ea typeface="+mn-ea"/>
              <a:cs typeface="+mn-cs"/>
            </a:rPr>
            <a:t> of the tournament.</a:t>
          </a:r>
          <a:endParaRPr lang="en-IN" sz="1100" baseline="0"/>
        </a:p>
        <a:p>
          <a:endParaRPr lang="en-IN" sz="1100"/>
        </a:p>
      </xdr:txBody>
    </xdr:sp>
    <xdr:clientData/>
  </xdr:oneCellAnchor>
  <xdr:twoCellAnchor>
    <xdr:from>
      <xdr:col>2</xdr:col>
      <xdr:colOff>45720</xdr:colOff>
      <xdr:row>5</xdr:row>
      <xdr:rowOff>167640</xdr:rowOff>
    </xdr:from>
    <xdr:to>
      <xdr:col>5</xdr:col>
      <xdr:colOff>106680</xdr:colOff>
      <xdr:row>21</xdr:row>
      <xdr:rowOff>87630</xdr:rowOff>
    </xdr:to>
    <xdr:graphicFrame macro="">
      <xdr:nvGraphicFramePr>
        <xdr:cNvPr id="3" name="Chart 2">
          <a:extLst>
            <a:ext uri="{FF2B5EF4-FFF2-40B4-BE49-F238E27FC236}">
              <a16:creationId xmlns:a16="http://schemas.microsoft.com/office/drawing/2014/main" id="{A665D0C2-FC8F-4BC4-A48D-5743171F2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175260</xdr:colOff>
      <xdr:row>22</xdr:row>
      <xdr:rowOff>30480</xdr:rowOff>
    </xdr:from>
    <xdr:ext cx="5288280" cy="1104900"/>
    <xdr:sp macro="" textlink="">
      <xdr:nvSpPr>
        <xdr:cNvPr id="4" name="TextBox 3">
          <a:extLst>
            <a:ext uri="{FF2B5EF4-FFF2-40B4-BE49-F238E27FC236}">
              <a16:creationId xmlns:a16="http://schemas.microsoft.com/office/drawing/2014/main" id="{62B7F4F8-8EB5-4BCB-B6AE-4A18C275D9E5}"/>
            </a:ext>
          </a:extLst>
        </xdr:cNvPr>
        <xdr:cNvSpPr txBox="1"/>
      </xdr:nvSpPr>
      <xdr:spPr>
        <a:xfrm>
          <a:off x="175260" y="4053840"/>
          <a:ext cx="5288280" cy="1104900"/>
        </a:xfrm>
        <a:prstGeom prst="rect">
          <a:avLst/>
        </a:prstGeom>
        <a:solidFill>
          <a:schemeClr val="accent3">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                             </a:t>
          </a:r>
          <a:r>
            <a:rPr lang="en-IN" sz="1100" b="1" u="sng"/>
            <a:t>Interpretations 16</a:t>
          </a:r>
        </a:p>
        <a:p>
          <a:r>
            <a:rPr lang="en-IN" b="1"/>
            <a:t>MP Stoinis</a:t>
          </a:r>
          <a:r>
            <a:rPr lang="en-IN"/>
            <a:t> secured the top rank, proving his all-round dominance across runs, strike rate, and consistency.</a:t>
          </a:r>
          <a:endParaRPr lang="en-IN" sz="1100" b="1" u="sng"/>
        </a:p>
        <a:p>
          <a:endParaRPr lang="en-IN" sz="1100" b="1" u="sng"/>
        </a:p>
        <a:p>
          <a:r>
            <a:rPr lang="en-IN" b="1"/>
            <a:t>AD Hales</a:t>
          </a:r>
          <a:r>
            <a:rPr lang="en-IN"/>
            <a:t> and </a:t>
          </a:r>
          <a:r>
            <a:rPr lang="en-IN" b="1"/>
            <a:t>JW Wells</a:t>
          </a:r>
          <a:r>
            <a:rPr lang="en-IN"/>
            <a:t> followed closely, highlighting a competitive group of high-impact performers driving their teams’ success. </a:t>
          </a:r>
          <a:endParaRPr lang="en-IN" sz="1100" b="1" u="sng"/>
        </a:p>
      </xdr:txBody>
    </xdr:sp>
    <xdr:clientData/>
  </xdr:oneCellAnchor>
  <xdr:twoCellAnchor>
    <xdr:from>
      <xdr:col>6</xdr:col>
      <xdr:colOff>7620</xdr:colOff>
      <xdr:row>10</xdr:row>
      <xdr:rowOff>7620</xdr:rowOff>
    </xdr:from>
    <xdr:to>
      <xdr:col>10</xdr:col>
      <xdr:colOff>281940</xdr:colOff>
      <xdr:row>25</xdr:row>
      <xdr:rowOff>121920</xdr:rowOff>
    </xdr:to>
    <xdr:graphicFrame macro="">
      <xdr:nvGraphicFramePr>
        <xdr:cNvPr id="5" name="Chart 4">
          <a:extLst>
            <a:ext uri="{FF2B5EF4-FFF2-40B4-BE49-F238E27FC236}">
              <a16:creationId xmlns:a16="http://schemas.microsoft.com/office/drawing/2014/main" id="{E91E355E-6CF5-4B1A-9B44-166736CA5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8</xdr:col>
      <xdr:colOff>464820</xdr:colOff>
      <xdr:row>1</xdr:row>
      <xdr:rowOff>121920</xdr:rowOff>
    </xdr:from>
    <xdr:ext cx="3733800" cy="1356360"/>
    <xdr:sp macro="" textlink="">
      <xdr:nvSpPr>
        <xdr:cNvPr id="6" name="TextBox 5">
          <a:extLst>
            <a:ext uri="{FF2B5EF4-FFF2-40B4-BE49-F238E27FC236}">
              <a16:creationId xmlns:a16="http://schemas.microsoft.com/office/drawing/2014/main" id="{B4A335D5-3400-429A-A07C-28864626A412}"/>
            </a:ext>
          </a:extLst>
        </xdr:cNvPr>
        <xdr:cNvSpPr txBox="1"/>
      </xdr:nvSpPr>
      <xdr:spPr>
        <a:xfrm>
          <a:off x="10233660" y="304800"/>
          <a:ext cx="3733800" cy="1356360"/>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solidFill>
                <a:schemeClr val="tx1"/>
              </a:solidFill>
              <a:effectLst/>
              <a:latin typeface="+mn-lt"/>
              <a:ea typeface="+mn-ea"/>
              <a:cs typeface="+mn-cs"/>
            </a:rPr>
            <a:t>                         </a:t>
          </a:r>
          <a:r>
            <a:rPr lang="en-IN" sz="1100" b="1" u="sng">
              <a:solidFill>
                <a:schemeClr val="tx1"/>
              </a:solidFill>
              <a:effectLst/>
              <a:latin typeface="+mn-lt"/>
              <a:ea typeface="+mn-ea"/>
              <a:cs typeface="+mn-cs"/>
            </a:rPr>
            <a:t>Interpretations 17</a:t>
          </a:r>
          <a:endParaRPr lang="en-IN">
            <a:effectLst/>
          </a:endParaRPr>
        </a:p>
        <a:p>
          <a:pPr eaLnBrk="1" fontAlgn="auto" latinLnBrk="0" hangingPunct="1"/>
          <a:r>
            <a:rPr lang="en-IN" sz="1100">
              <a:solidFill>
                <a:schemeClr val="tx1"/>
              </a:solidFill>
              <a:effectLst/>
              <a:latin typeface="+mn-lt"/>
              <a:ea typeface="+mn-ea"/>
              <a:cs typeface="+mn-cs"/>
            </a:rPr>
            <a:t> </a:t>
          </a:r>
          <a:r>
            <a:rPr lang="en-IN" sz="1100" b="1">
              <a:solidFill>
                <a:schemeClr val="tx1"/>
              </a:solidFill>
              <a:effectLst/>
              <a:latin typeface="+mn-lt"/>
              <a:ea typeface="+mn-ea"/>
              <a:cs typeface="+mn-cs"/>
            </a:rPr>
            <a:t>MS Harris</a:t>
          </a:r>
          <a:r>
            <a:rPr lang="en-IN" sz="1100">
              <a:solidFill>
                <a:schemeClr val="tx1"/>
              </a:solidFill>
              <a:effectLst/>
              <a:latin typeface="+mn-lt"/>
              <a:ea typeface="+mn-ea"/>
              <a:cs typeface="+mn-cs"/>
            </a:rPr>
            <a:t> ranks highest among this group, indicating relatively lower overall impact compared to top performers.</a:t>
          </a:r>
          <a:endParaRPr lang="en-IN">
            <a:effectLst/>
          </a:endParaRPr>
        </a:p>
        <a:p>
          <a:pPr eaLnBrk="1" fontAlgn="auto" latinLnBrk="0" hangingPunct="1"/>
          <a:r>
            <a:rPr lang="en-IN" sz="1100">
              <a:solidFill>
                <a:schemeClr val="tx1"/>
              </a:solidFill>
              <a:effectLst/>
              <a:latin typeface="+mn-lt"/>
              <a:ea typeface="+mn-ea"/>
              <a:cs typeface="+mn-cs"/>
            </a:rPr>
            <a:t>Ranking from 46 to 50 suggest these players less with room for improvements </a:t>
          </a:r>
          <a:br>
            <a:rPr lang="en-IN" sz="1100">
              <a:solidFill>
                <a:schemeClr val="tx1"/>
              </a:solidFill>
              <a:effectLst/>
              <a:latin typeface="+mn-lt"/>
              <a:ea typeface="+mn-ea"/>
              <a:cs typeface="+mn-cs"/>
            </a:rPr>
          </a:br>
          <a:endParaRPr lang="en-IN">
            <a:effectLst/>
          </a:endParaRPr>
        </a:p>
        <a:p>
          <a:endParaRPr lang="en-IN" sz="1100"/>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1</xdr:col>
      <xdr:colOff>106680</xdr:colOff>
      <xdr:row>0</xdr:row>
      <xdr:rowOff>7620</xdr:rowOff>
    </xdr:from>
    <xdr:to>
      <xdr:col>26</xdr:col>
      <xdr:colOff>53340</xdr:colOff>
      <xdr:row>6</xdr:row>
      <xdr:rowOff>38100</xdr:rowOff>
    </xdr:to>
    <xdr:sp macro="" textlink="">
      <xdr:nvSpPr>
        <xdr:cNvPr id="2" name="TextBox 1">
          <a:extLst>
            <a:ext uri="{FF2B5EF4-FFF2-40B4-BE49-F238E27FC236}">
              <a16:creationId xmlns:a16="http://schemas.microsoft.com/office/drawing/2014/main" id="{776C4094-D825-6F36-22A7-E867EB439A28}"/>
            </a:ext>
          </a:extLst>
        </xdr:cNvPr>
        <xdr:cNvSpPr txBox="1"/>
      </xdr:nvSpPr>
      <xdr:spPr>
        <a:xfrm>
          <a:off x="716280" y="7620"/>
          <a:ext cx="15186660" cy="112776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IN"/>
        </a:p>
        <a:p>
          <a:r>
            <a:rPr lang="en-IN" sz="1100"/>
            <a:t>                                                                                                                                           </a:t>
          </a:r>
          <a:r>
            <a:rPr lang="en-IN" sz="2400" b="1">
              <a:solidFill>
                <a:schemeClr val="dk1"/>
              </a:solidFill>
              <a:effectLst/>
              <a:latin typeface="Arial" panose="020B0604020202020204" pitchFamily="34" charset="0"/>
              <a:ea typeface="+mn-ea"/>
              <a:cs typeface="Arial" panose="020B0604020202020204" pitchFamily="34" charset="0"/>
            </a:rPr>
            <a:t>BBL 2019–2020 Player Batting Performance Summary</a:t>
          </a:r>
          <a:endParaRPr lang="en-IN" sz="2400">
            <a:latin typeface="Arial" panose="020B0604020202020204" pitchFamily="34" charset="0"/>
            <a:cs typeface="Arial" panose="020B0604020202020204" pitchFamily="34" charset="0"/>
          </a:endParaRPr>
        </a:p>
      </xdr:txBody>
    </xdr:sp>
    <xdr:clientData/>
  </xdr:twoCellAnchor>
  <xdr:twoCellAnchor>
    <xdr:from>
      <xdr:col>1</xdr:col>
      <xdr:colOff>99060</xdr:colOff>
      <xdr:row>6</xdr:row>
      <xdr:rowOff>30480</xdr:rowOff>
    </xdr:from>
    <xdr:to>
      <xdr:col>26</xdr:col>
      <xdr:colOff>76200</xdr:colOff>
      <xdr:row>18</xdr:row>
      <xdr:rowOff>121920</xdr:rowOff>
    </xdr:to>
    <xdr:sp macro="" textlink="">
      <xdr:nvSpPr>
        <xdr:cNvPr id="3" name="TextBox 2">
          <a:extLst>
            <a:ext uri="{FF2B5EF4-FFF2-40B4-BE49-F238E27FC236}">
              <a16:creationId xmlns:a16="http://schemas.microsoft.com/office/drawing/2014/main" id="{46D545A9-9E3B-2A97-FEF9-F7189862B952}"/>
            </a:ext>
          </a:extLst>
        </xdr:cNvPr>
        <xdr:cNvSpPr txBox="1"/>
      </xdr:nvSpPr>
      <xdr:spPr>
        <a:xfrm>
          <a:off x="708660" y="1127760"/>
          <a:ext cx="15217140" cy="22860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68580</xdr:colOff>
      <xdr:row>18</xdr:row>
      <xdr:rowOff>175260</xdr:rowOff>
    </xdr:from>
    <xdr:to>
      <xdr:col>26</xdr:col>
      <xdr:colOff>76200</xdr:colOff>
      <xdr:row>33</xdr:row>
      <xdr:rowOff>167640</xdr:rowOff>
    </xdr:to>
    <xdr:sp macro="" textlink="">
      <xdr:nvSpPr>
        <xdr:cNvPr id="4" name="TextBox 3">
          <a:extLst>
            <a:ext uri="{FF2B5EF4-FFF2-40B4-BE49-F238E27FC236}">
              <a16:creationId xmlns:a16="http://schemas.microsoft.com/office/drawing/2014/main" id="{81639493-D62D-8C9E-ED5C-DD6A57EEAF54}"/>
            </a:ext>
          </a:extLst>
        </xdr:cNvPr>
        <xdr:cNvSpPr txBox="1"/>
      </xdr:nvSpPr>
      <xdr:spPr>
        <a:xfrm>
          <a:off x="678180" y="3467100"/>
          <a:ext cx="15247620" cy="273558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30480</xdr:colOff>
      <xdr:row>34</xdr:row>
      <xdr:rowOff>7620</xdr:rowOff>
    </xdr:from>
    <xdr:to>
      <xdr:col>26</xdr:col>
      <xdr:colOff>91440</xdr:colOff>
      <xdr:row>48</xdr:row>
      <xdr:rowOff>114300</xdr:rowOff>
    </xdr:to>
    <xdr:sp macro="" textlink="">
      <xdr:nvSpPr>
        <xdr:cNvPr id="5" name="TextBox 4">
          <a:extLst>
            <a:ext uri="{FF2B5EF4-FFF2-40B4-BE49-F238E27FC236}">
              <a16:creationId xmlns:a16="http://schemas.microsoft.com/office/drawing/2014/main" id="{D341A87E-0DB6-08F5-02D8-CB87F70212AC}"/>
            </a:ext>
          </a:extLst>
        </xdr:cNvPr>
        <xdr:cNvSpPr txBox="1"/>
      </xdr:nvSpPr>
      <xdr:spPr>
        <a:xfrm>
          <a:off x="640080" y="6225540"/>
          <a:ext cx="15300960" cy="26670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7619</xdr:colOff>
      <xdr:row>48</xdr:row>
      <xdr:rowOff>114300</xdr:rowOff>
    </xdr:from>
    <xdr:to>
      <xdr:col>26</xdr:col>
      <xdr:colOff>149678</xdr:colOff>
      <xdr:row>63</xdr:row>
      <xdr:rowOff>81643</xdr:rowOff>
    </xdr:to>
    <xdr:sp macro="" textlink="">
      <xdr:nvSpPr>
        <xdr:cNvPr id="6" name="TextBox 5">
          <a:extLst>
            <a:ext uri="{FF2B5EF4-FFF2-40B4-BE49-F238E27FC236}">
              <a16:creationId xmlns:a16="http://schemas.microsoft.com/office/drawing/2014/main" id="{C4D4136D-0B3F-B7A2-FB6F-C68616251565}"/>
            </a:ext>
          </a:extLst>
        </xdr:cNvPr>
        <xdr:cNvSpPr txBox="1"/>
      </xdr:nvSpPr>
      <xdr:spPr>
        <a:xfrm>
          <a:off x="619940" y="8605157"/>
          <a:ext cx="15450095" cy="2620736"/>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97277</xdr:colOff>
      <xdr:row>6</xdr:row>
      <xdr:rowOff>8106</xdr:rowOff>
    </xdr:from>
    <xdr:to>
      <xdr:col>7</xdr:col>
      <xdr:colOff>178341</xdr:colOff>
      <xdr:row>18</xdr:row>
      <xdr:rowOff>90468</xdr:rowOff>
    </xdr:to>
    <xdr:graphicFrame macro="">
      <xdr:nvGraphicFramePr>
        <xdr:cNvPr id="7" name="Chart 6">
          <a:extLst>
            <a:ext uri="{FF2B5EF4-FFF2-40B4-BE49-F238E27FC236}">
              <a16:creationId xmlns:a16="http://schemas.microsoft.com/office/drawing/2014/main" id="{CC3A892E-09EC-461F-97A0-3BB2A236E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270430</xdr:colOff>
      <xdr:row>6</xdr:row>
      <xdr:rowOff>72956</xdr:rowOff>
    </xdr:from>
    <xdr:to>
      <xdr:col>13</xdr:col>
      <xdr:colOff>162128</xdr:colOff>
      <xdr:row>18</xdr:row>
      <xdr:rowOff>49447</xdr:rowOff>
    </xdr:to>
    <xdr:graphicFrame macro="">
      <xdr:nvGraphicFramePr>
        <xdr:cNvPr id="8" name="Chart 7">
          <a:extLst>
            <a:ext uri="{FF2B5EF4-FFF2-40B4-BE49-F238E27FC236}">
              <a16:creationId xmlns:a16="http://schemas.microsoft.com/office/drawing/2014/main" id="{159E7DAB-DBB9-4672-8FCA-8A3EA76A4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308043</xdr:colOff>
      <xdr:row>6</xdr:row>
      <xdr:rowOff>89169</xdr:rowOff>
    </xdr:from>
    <xdr:to>
      <xdr:col>19</xdr:col>
      <xdr:colOff>291830</xdr:colOff>
      <xdr:row>18</xdr:row>
      <xdr:rowOff>64403</xdr:rowOff>
    </xdr:to>
    <xdr:graphicFrame macro="">
      <xdr:nvGraphicFramePr>
        <xdr:cNvPr id="9" name="Chart 8">
          <a:extLst>
            <a:ext uri="{FF2B5EF4-FFF2-40B4-BE49-F238E27FC236}">
              <a16:creationId xmlns:a16="http://schemas.microsoft.com/office/drawing/2014/main" id="{D491C63C-EC71-49D4-BA26-D9501327B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421532</xdr:colOff>
      <xdr:row>6</xdr:row>
      <xdr:rowOff>48637</xdr:rowOff>
    </xdr:from>
    <xdr:to>
      <xdr:col>25</xdr:col>
      <xdr:colOff>509730</xdr:colOff>
      <xdr:row>18</xdr:row>
      <xdr:rowOff>74253</xdr:rowOff>
    </xdr:to>
    <xdr:graphicFrame macro="">
      <xdr:nvGraphicFramePr>
        <xdr:cNvPr id="10" name="Chart 9">
          <a:extLst>
            <a:ext uri="{FF2B5EF4-FFF2-40B4-BE49-F238E27FC236}">
              <a16:creationId xmlns:a16="http://schemas.microsoft.com/office/drawing/2014/main" id="{F29C1205-320A-47A3-95B3-0EDE5AE62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48638</xdr:colOff>
      <xdr:row>19</xdr:row>
      <xdr:rowOff>0</xdr:rowOff>
    </xdr:from>
    <xdr:to>
      <xdr:col>8</xdr:col>
      <xdr:colOff>575553</xdr:colOff>
      <xdr:row>33</xdr:row>
      <xdr:rowOff>113489</xdr:rowOff>
    </xdr:to>
    <xdr:graphicFrame macro="">
      <xdr:nvGraphicFramePr>
        <xdr:cNvPr id="12" name="Chart 11">
          <a:extLst>
            <a:ext uri="{FF2B5EF4-FFF2-40B4-BE49-F238E27FC236}">
              <a16:creationId xmlns:a16="http://schemas.microsoft.com/office/drawing/2014/main" id="{0EFC110E-68BC-4A0E-A2DA-50BF1DE62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186447</xdr:colOff>
      <xdr:row>19</xdr:row>
      <xdr:rowOff>8107</xdr:rowOff>
    </xdr:from>
    <xdr:to>
      <xdr:col>24</xdr:col>
      <xdr:colOff>599873</xdr:colOff>
      <xdr:row>33</xdr:row>
      <xdr:rowOff>98086</xdr:rowOff>
    </xdr:to>
    <xdr:graphicFrame macro="">
      <xdr:nvGraphicFramePr>
        <xdr:cNvPr id="15" name="Chart 14">
          <a:extLst>
            <a:ext uri="{FF2B5EF4-FFF2-40B4-BE49-F238E27FC236}">
              <a16:creationId xmlns:a16="http://schemas.microsoft.com/office/drawing/2014/main" id="{B9AF41EC-63F1-4A1A-B524-F5FD14B03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0</xdr:colOff>
      <xdr:row>34</xdr:row>
      <xdr:rowOff>40532</xdr:rowOff>
    </xdr:from>
    <xdr:to>
      <xdr:col>24</xdr:col>
      <xdr:colOff>226979</xdr:colOff>
      <xdr:row>48</xdr:row>
      <xdr:rowOff>113489</xdr:rowOff>
    </xdr:to>
    <xdr:graphicFrame macro="">
      <xdr:nvGraphicFramePr>
        <xdr:cNvPr id="18" name="Chart 17">
          <a:extLst>
            <a:ext uri="{FF2B5EF4-FFF2-40B4-BE49-F238E27FC236}">
              <a16:creationId xmlns:a16="http://schemas.microsoft.com/office/drawing/2014/main" id="{6BCB09CE-DCF7-4C9E-9C6D-7640B0971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567146</xdr:colOff>
      <xdr:row>49</xdr:row>
      <xdr:rowOff>95250</xdr:rowOff>
    </xdr:from>
    <xdr:to>
      <xdr:col>8</xdr:col>
      <xdr:colOff>122465</xdr:colOff>
      <xdr:row>62</xdr:row>
      <xdr:rowOff>39188</xdr:rowOff>
    </xdr:to>
    <xdr:graphicFrame macro="">
      <xdr:nvGraphicFramePr>
        <xdr:cNvPr id="19" name="Chart 18">
          <a:extLst>
            <a:ext uri="{FF2B5EF4-FFF2-40B4-BE49-F238E27FC236}">
              <a16:creationId xmlns:a16="http://schemas.microsoft.com/office/drawing/2014/main" id="{2C923FDE-EB7B-474D-B182-A25D31A15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201385</xdr:colOff>
      <xdr:row>34</xdr:row>
      <xdr:rowOff>11974</xdr:rowOff>
    </xdr:from>
    <xdr:to>
      <xdr:col>8</xdr:col>
      <xdr:colOff>91984</xdr:colOff>
      <xdr:row>48</xdr:row>
      <xdr:rowOff>105047</xdr:rowOff>
    </xdr:to>
    <xdr:graphicFrame macro="">
      <xdr:nvGraphicFramePr>
        <xdr:cNvPr id="13" name="Chart 12">
          <a:extLst>
            <a:ext uri="{FF2B5EF4-FFF2-40B4-BE49-F238E27FC236}">
              <a16:creationId xmlns:a16="http://schemas.microsoft.com/office/drawing/2014/main" id="{C0DB16B0-93A8-4E4C-B706-4BBD83305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81063</xdr:colOff>
      <xdr:row>34</xdr:row>
      <xdr:rowOff>53282</xdr:rowOff>
    </xdr:from>
    <xdr:to>
      <xdr:col>16</xdr:col>
      <xdr:colOff>28627</xdr:colOff>
      <xdr:row>48</xdr:row>
      <xdr:rowOff>105383</xdr:rowOff>
    </xdr:to>
    <xdr:graphicFrame macro="">
      <xdr:nvGraphicFramePr>
        <xdr:cNvPr id="20" name="Chart 19">
          <a:extLst>
            <a:ext uri="{FF2B5EF4-FFF2-40B4-BE49-F238E27FC236}">
              <a16:creationId xmlns:a16="http://schemas.microsoft.com/office/drawing/2014/main" id="{54D67BA0-D559-4F6B-B9C6-7FB7CDEA3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170905</xdr:colOff>
      <xdr:row>49</xdr:row>
      <xdr:rowOff>102326</xdr:rowOff>
    </xdr:from>
    <xdr:to>
      <xdr:col>16</xdr:col>
      <xdr:colOff>99604</xdr:colOff>
      <xdr:row>62</xdr:row>
      <xdr:rowOff>48986</xdr:rowOff>
    </xdr:to>
    <xdr:graphicFrame macro="">
      <xdr:nvGraphicFramePr>
        <xdr:cNvPr id="21" name="Chart 20">
          <a:extLst>
            <a:ext uri="{FF2B5EF4-FFF2-40B4-BE49-F238E27FC236}">
              <a16:creationId xmlns:a16="http://schemas.microsoft.com/office/drawing/2014/main" id="{92268F7A-17F6-4F89-9C64-49B4ABC91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503465</xdr:colOff>
      <xdr:row>49</xdr:row>
      <xdr:rowOff>106680</xdr:rowOff>
    </xdr:from>
    <xdr:to>
      <xdr:col>24</xdr:col>
      <xdr:colOff>389165</xdr:colOff>
      <xdr:row>62</xdr:row>
      <xdr:rowOff>114300</xdr:rowOff>
    </xdr:to>
    <xdr:graphicFrame macro="">
      <xdr:nvGraphicFramePr>
        <xdr:cNvPr id="22" name="Chart 21">
          <a:extLst>
            <a:ext uri="{FF2B5EF4-FFF2-40B4-BE49-F238E27FC236}">
              <a16:creationId xmlns:a16="http://schemas.microsoft.com/office/drawing/2014/main" id="{5B552FA1-8C4D-423F-96C0-342B0731D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26</xdr:col>
      <xdr:colOff>308042</xdr:colOff>
      <xdr:row>8</xdr:row>
      <xdr:rowOff>0</xdr:rowOff>
    </xdr:from>
    <xdr:to>
      <xdr:col>29</xdr:col>
      <xdr:colOff>291830</xdr:colOff>
      <xdr:row>11</xdr:row>
      <xdr:rowOff>34955</xdr:rowOff>
    </xdr:to>
    <xdr:sp macro="" textlink="">
      <xdr:nvSpPr>
        <xdr:cNvPr id="23" name="TextBox 22">
          <a:extLst>
            <a:ext uri="{FF2B5EF4-FFF2-40B4-BE49-F238E27FC236}">
              <a16:creationId xmlns:a16="http://schemas.microsoft.com/office/drawing/2014/main" id="{CFE94EBC-2977-4AFA-F2CF-B2DF80BA9CD5}"/>
            </a:ext>
          </a:extLst>
        </xdr:cNvPr>
        <xdr:cNvSpPr txBox="1"/>
      </xdr:nvSpPr>
      <xdr:spPr>
        <a:xfrm>
          <a:off x="16115489" y="1491574"/>
          <a:ext cx="1807724" cy="594296"/>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Player</a:t>
          </a:r>
          <a:r>
            <a:rPr lang="en-IN" sz="1400" b="1" baseline="0"/>
            <a:t> Performance</a:t>
          </a:r>
          <a:endParaRPr lang="en-IN" sz="1400" b="1"/>
        </a:p>
      </xdr:txBody>
    </xdr:sp>
    <xdr:clientData/>
  </xdr:twoCellAnchor>
  <xdr:twoCellAnchor>
    <xdr:from>
      <xdr:col>26</xdr:col>
      <xdr:colOff>356682</xdr:colOff>
      <xdr:row>21</xdr:row>
      <xdr:rowOff>129701</xdr:rowOff>
    </xdr:from>
    <xdr:to>
      <xdr:col>29</xdr:col>
      <xdr:colOff>226980</xdr:colOff>
      <xdr:row>25</xdr:row>
      <xdr:rowOff>89169</xdr:rowOff>
    </xdr:to>
    <xdr:sp macro="" textlink="">
      <xdr:nvSpPr>
        <xdr:cNvPr id="24" name="TextBox 23">
          <a:extLst>
            <a:ext uri="{FF2B5EF4-FFF2-40B4-BE49-F238E27FC236}">
              <a16:creationId xmlns:a16="http://schemas.microsoft.com/office/drawing/2014/main" id="{3A3EA02C-7B1D-8918-E408-8DF651F953E8}"/>
            </a:ext>
          </a:extLst>
        </xdr:cNvPr>
        <xdr:cNvSpPr txBox="1"/>
      </xdr:nvSpPr>
      <xdr:spPr>
        <a:xfrm>
          <a:off x="16164129" y="4045084"/>
          <a:ext cx="1694234" cy="705255"/>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rial" panose="020B0604020202020204" pitchFamily="34" charset="0"/>
              <a:cs typeface="Arial" panose="020B0604020202020204" pitchFamily="34" charset="0"/>
            </a:rPr>
            <a:t>Team</a:t>
          </a:r>
          <a:r>
            <a:rPr lang="en-IN" sz="1600" b="1" baseline="0">
              <a:latin typeface="Arial" panose="020B0604020202020204" pitchFamily="34" charset="0"/>
              <a:cs typeface="Arial" panose="020B0604020202020204" pitchFamily="34" charset="0"/>
            </a:rPr>
            <a:t> Performance</a:t>
          </a:r>
          <a:endParaRPr lang="en-IN" sz="1600" b="1">
            <a:latin typeface="Arial" panose="020B0604020202020204" pitchFamily="34" charset="0"/>
            <a:cs typeface="Arial" panose="020B0604020202020204" pitchFamily="34" charset="0"/>
          </a:endParaRPr>
        </a:p>
      </xdr:txBody>
    </xdr:sp>
    <xdr:clientData/>
  </xdr:twoCellAnchor>
  <xdr:twoCellAnchor>
    <xdr:from>
      <xdr:col>26</xdr:col>
      <xdr:colOff>298154</xdr:colOff>
      <xdr:row>51</xdr:row>
      <xdr:rowOff>182283</xdr:rowOff>
    </xdr:from>
    <xdr:to>
      <xdr:col>29</xdr:col>
      <xdr:colOff>472702</xdr:colOff>
      <xdr:row>56</xdr:row>
      <xdr:rowOff>37781</xdr:rowOff>
    </xdr:to>
    <xdr:sp macro="" textlink="">
      <xdr:nvSpPr>
        <xdr:cNvPr id="25" name="TextBox 24">
          <a:extLst>
            <a:ext uri="{FF2B5EF4-FFF2-40B4-BE49-F238E27FC236}">
              <a16:creationId xmlns:a16="http://schemas.microsoft.com/office/drawing/2014/main" id="{7B727923-A012-8662-9EA9-7A8AF2C5099F}"/>
            </a:ext>
          </a:extLst>
        </xdr:cNvPr>
        <xdr:cNvSpPr txBox="1"/>
      </xdr:nvSpPr>
      <xdr:spPr>
        <a:xfrm>
          <a:off x="16105601" y="9691070"/>
          <a:ext cx="1998484" cy="787732"/>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rial" panose="020B0604020202020204" pitchFamily="34" charset="0"/>
              <a:cs typeface="Arial" panose="020B0604020202020204" pitchFamily="34" charset="0"/>
            </a:rPr>
            <a:t> </a:t>
          </a:r>
          <a:r>
            <a:rPr lang="en-IN" sz="2000" b="1">
              <a:latin typeface="Arial" panose="020B0604020202020204" pitchFamily="34" charset="0"/>
              <a:cs typeface="Arial" panose="020B0604020202020204" pitchFamily="34" charset="0"/>
            </a:rPr>
            <a:t>Boundries</a:t>
          </a:r>
        </a:p>
      </xdr:txBody>
    </xdr:sp>
    <xdr:clientData/>
  </xdr:twoCellAnchor>
  <xdr:twoCellAnchor>
    <xdr:from>
      <xdr:col>1</xdr:col>
      <xdr:colOff>111852</xdr:colOff>
      <xdr:row>3</xdr:row>
      <xdr:rowOff>69909</xdr:rowOff>
    </xdr:from>
    <xdr:to>
      <xdr:col>26</xdr:col>
      <xdr:colOff>48935</xdr:colOff>
      <xdr:row>6</xdr:row>
      <xdr:rowOff>6991</xdr:rowOff>
    </xdr:to>
    <xdr:sp macro="" textlink="">
      <xdr:nvSpPr>
        <xdr:cNvPr id="26" name="TextBox 25">
          <a:extLst>
            <a:ext uri="{FF2B5EF4-FFF2-40B4-BE49-F238E27FC236}">
              <a16:creationId xmlns:a16="http://schemas.microsoft.com/office/drawing/2014/main" id="{17A125B5-D85E-BE6D-90AC-DC55BA551043}"/>
            </a:ext>
          </a:extLst>
        </xdr:cNvPr>
        <xdr:cNvSpPr txBox="1"/>
      </xdr:nvSpPr>
      <xdr:spPr>
        <a:xfrm>
          <a:off x="720054" y="615193"/>
          <a:ext cx="15142129" cy="4823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400" b="1" baseline="0"/>
        </a:p>
      </xdr:txBody>
    </xdr:sp>
    <xdr:clientData/>
  </xdr:twoCellAnchor>
  <xdr:twoCellAnchor>
    <xdr:from>
      <xdr:col>7</xdr:col>
      <xdr:colOff>41945</xdr:colOff>
      <xdr:row>3</xdr:row>
      <xdr:rowOff>62919</xdr:rowOff>
    </xdr:from>
    <xdr:to>
      <xdr:col>9</xdr:col>
      <xdr:colOff>293615</xdr:colOff>
      <xdr:row>6</xdr:row>
      <xdr:rowOff>6992</xdr:rowOff>
    </xdr:to>
    <xdr:sp macro="" textlink="">
      <xdr:nvSpPr>
        <xdr:cNvPr id="27" name="TextBox 26">
          <a:extLst>
            <a:ext uri="{FF2B5EF4-FFF2-40B4-BE49-F238E27FC236}">
              <a16:creationId xmlns:a16="http://schemas.microsoft.com/office/drawing/2014/main" id="{78062C78-B0B0-615E-32B9-71D9B8AA501D}"/>
            </a:ext>
          </a:extLst>
        </xdr:cNvPr>
        <xdr:cNvSpPr txBox="1"/>
      </xdr:nvSpPr>
      <xdr:spPr>
        <a:xfrm rot="10800000" flipV="1">
          <a:off x="4299358" y="608203"/>
          <a:ext cx="1468074" cy="489358"/>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Average Strike Rate</a:t>
          </a:r>
        </a:p>
        <a:p>
          <a:r>
            <a:rPr lang="en-IN"/>
            <a:t>135.64</a:t>
          </a:r>
          <a:endParaRPr lang="en-IN" sz="1100"/>
        </a:p>
      </xdr:txBody>
    </xdr:sp>
    <xdr:clientData/>
  </xdr:twoCellAnchor>
  <xdr:twoCellAnchor>
    <xdr:from>
      <xdr:col>4</xdr:col>
      <xdr:colOff>237688</xdr:colOff>
      <xdr:row>3</xdr:row>
      <xdr:rowOff>40532</xdr:rowOff>
    </xdr:from>
    <xdr:to>
      <xdr:col>7</xdr:col>
      <xdr:colOff>56746</xdr:colOff>
      <xdr:row>6</xdr:row>
      <xdr:rowOff>27963</xdr:rowOff>
    </xdr:to>
    <xdr:sp macro="" textlink="">
      <xdr:nvSpPr>
        <xdr:cNvPr id="28" name="TextBox 27">
          <a:extLst>
            <a:ext uri="{FF2B5EF4-FFF2-40B4-BE49-F238E27FC236}">
              <a16:creationId xmlns:a16="http://schemas.microsoft.com/office/drawing/2014/main" id="{C4C1B933-5609-7029-BDCC-E8696F20C8AA}"/>
            </a:ext>
          </a:extLst>
        </xdr:cNvPr>
        <xdr:cNvSpPr txBox="1"/>
      </xdr:nvSpPr>
      <xdr:spPr>
        <a:xfrm>
          <a:off x="2669603" y="599872"/>
          <a:ext cx="1642994" cy="546772"/>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Total Runs Scored</a:t>
          </a:r>
        </a:p>
        <a:p>
          <a:r>
            <a:rPr lang="en-IN" sz="1100"/>
            <a:t>14433</a:t>
          </a:r>
        </a:p>
      </xdr:txBody>
    </xdr:sp>
    <xdr:clientData/>
  </xdr:twoCellAnchor>
  <xdr:twoCellAnchor>
    <xdr:from>
      <xdr:col>9</xdr:col>
      <xdr:colOff>335558</xdr:colOff>
      <xdr:row>3</xdr:row>
      <xdr:rowOff>69907</xdr:rowOff>
    </xdr:from>
    <xdr:to>
      <xdr:col>12</xdr:col>
      <xdr:colOff>447412</xdr:colOff>
      <xdr:row>5</xdr:row>
      <xdr:rowOff>174769</xdr:rowOff>
    </xdr:to>
    <xdr:sp macro="" textlink="">
      <xdr:nvSpPr>
        <xdr:cNvPr id="29" name="TextBox 28">
          <a:extLst>
            <a:ext uri="{FF2B5EF4-FFF2-40B4-BE49-F238E27FC236}">
              <a16:creationId xmlns:a16="http://schemas.microsoft.com/office/drawing/2014/main" id="{F8C171FF-2E54-4751-B542-456C3F18BC27}"/>
            </a:ext>
          </a:extLst>
        </xdr:cNvPr>
        <xdr:cNvSpPr txBox="1"/>
      </xdr:nvSpPr>
      <xdr:spPr>
        <a:xfrm>
          <a:off x="5809375" y="615191"/>
          <a:ext cx="1936459" cy="468385"/>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Average Batting Average</a:t>
          </a:r>
        </a:p>
        <a:p>
          <a:r>
            <a:rPr lang="en-IN"/>
            <a:t>30.41</a:t>
          </a:r>
          <a:endParaRPr lang="en-IN" sz="1100"/>
        </a:p>
      </xdr:txBody>
    </xdr:sp>
    <xdr:clientData/>
  </xdr:twoCellAnchor>
  <xdr:twoCellAnchor>
    <xdr:from>
      <xdr:col>12</xdr:col>
      <xdr:colOff>461394</xdr:colOff>
      <xdr:row>3</xdr:row>
      <xdr:rowOff>41946</xdr:rowOff>
    </xdr:from>
    <xdr:to>
      <xdr:col>15</xdr:col>
      <xdr:colOff>188751</xdr:colOff>
      <xdr:row>6</xdr:row>
      <xdr:rowOff>1</xdr:rowOff>
    </xdr:to>
    <xdr:sp macro="" textlink="">
      <xdr:nvSpPr>
        <xdr:cNvPr id="30" name="TextBox 29">
          <a:extLst>
            <a:ext uri="{FF2B5EF4-FFF2-40B4-BE49-F238E27FC236}">
              <a16:creationId xmlns:a16="http://schemas.microsoft.com/office/drawing/2014/main" id="{12CAAC68-EF41-EF2A-8DC9-A457FF685109}"/>
            </a:ext>
          </a:extLst>
        </xdr:cNvPr>
        <xdr:cNvSpPr txBox="1"/>
      </xdr:nvSpPr>
      <xdr:spPr>
        <a:xfrm>
          <a:off x="7759816" y="587230"/>
          <a:ext cx="1551963" cy="50334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Total Fours Hit</a:t>
          </a:r>
        </a:p>
        <a:p>
          <a:r>
            <a:rPr lang="en-IN"/>
            <a:t>1,198</a:t>
          </a:r>
          <a:endParaRPr lang="en-IN" sz="1100"/>
        </a:p>
      </xdr:txBody>
    </xdr:sp>
    <xdr:clientData/>
  </xdr:twoCellAnchor>
  <xdr:twoCellAnchor>
    <xdr:from>
      <xdr:col>15</xdr:col>
      <xdr:colOff>202732</xdr:colOff>
      <xdr:row>3</xdr:row>
      <xdr:rowOff>55927</xdr:rowOff>
    </xdr:from>
    <xdr:to>
      <xdr:col>17</xdr:col>
      <xdr:colOff>363522</xdr:colOff>
      <xdr:row>6</xdr:row>
      <xdr:rowOff>0</xdr:rowOff>
    </xdr:to>
    <xdr:sp macro="" textlink="">
      <xdr:nvSpPr>
        <xdr:cNvPr id="31" name="TextBox 30">
          <a:extLst>
            <a:ext uri="{FF2B5EF4-FFF2-40B4-BE49-F238E27FC236}">
              <a16:creationId xmlns:a16="http://schemas.microsoft.com/office/drawing/2014/main" id="{F4A76FBE-02DC-5E5F-EDA3-6C4090A355AD}"/>
            </a:ext>
          </a:extLst>
        </xdr:cNvPr>
        <xdr:cNvSpPr txBox="1"/>
      </xdr:nvSpPr>
      <xdr:spPr>
        <a:xfrm>
          <a:off x="9325760" y="601211"/>
          <a:ext cx="1377193" cy="489358"/>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Total Sixes Hit</a:t>
          </a:r>
        </a:p>
        <a:p>
          <a:r>
            <a:rPr lang="en-IN" sz="1100"/>
            <a:t>530</a:t>
          </a:r>
        </a:p>
      </xdr:txBody>
    </xdr:sp>
    <xdr:clientData/>
  </xdr:twoCellAnchor>
  <xdr:twoCellAnchor>
    <xdr:from>
      <xdr:col>17</xdr:col>
      <xdr:colOff>363523</xdr:colOff>
      <xdr:row>3</xdr:row>
      <xdr:rowOff>48937</xdr:rowOff>
    </xdr:from>
    <xdr:to>
      <xdr:col>20</xdr:col>
      <xdr:colOff>13981</xdr:colOff>
      <xdr:row>6</xdr:row>
      <xdr:rowOff>20972</xdr:rowOff>
    </xdr:to>
    <xdr:sp macro="" textlink="">
      <xdr:nvSpPr>
        <xdr:cNvPr id="32" name="TextBox 31">
          <a:extLst>
            <a:ext uri="{FF2B5EF4-FFF2-40B4-BE49-F238E27FC236}">
              <a16:creationId xmlns:a16="http://schemas.microsoft.com/office/drawing/2014/main" id="{45A562E2-58D1-E5FE-BFEB-C33865ED99CB}"/>
            </a:ext>
          </a:extLst>
        </xdr:cNvPr>
        <xdr:cNvSpPr txBox="1"/>
      </xdr:nvSpPr>
      <xdr:spPr>
        <a:xfrm flipH="1">
          <a:off x="10702954" y="594221"/>
          <a:ext cx="1475064" cy="51732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Top Scorer</a:t>
          </a:r>
        </a:p>
        <a:p>
          <a:r>
            <a:rPr lang="en-IN"/>
            <a:t>MP Stoinis</a:t>
          </a:r>
          <a:endParaRPr lang="en-IN" sz="1100"/>
        </a:p>
      </xdr:txBody>
    </xdr:sp>
    <xdr:clientData/>
  </xdr:twoCellAnchor>
  <xdr:twoCellAnchor>
    <xdr:from>
      <xdr:col>1</xdr:col>
      <xdr:colOff>97871</xdr:colOff>
      <xdr:row>3</xdr:row>
      <xdr:rowOff>32427</xdr:rowOff>
    </xdr:from>
    <xdr:to>
      <xdr:col>4</xdr:col>
      <xdr:colOff>283723</xdr:colOff>
      <xdr:row>5</xdr:row>
      <xdr:rowOff>167781</xdr:rowOff>
    </xdr:to>
    <xdr:sp macro="" textlink="">
      <xdr:nvSpPr>
        <xdr:cNvPr id="33" name="TextBox 32">
          <a:extLst>
            <a:ext uri="{FF2B5EF4-FFF2-40B4-BE49-F238E27FC236}">
              <a16:creationId xmlns:a16="http://schemas.microsoft.com/office/drawing/2014/main" id="{50B4F22F-FBCA-C404-2242-4144DB19AA5A}"/>
            </a:ext>
          </a:extLst>
        </xdr:cNvPr>
        <xdr:cNvSpPr txBox="1"/>
      </xdr:nvSpPr>
      <xdr:spPr>
        <a:xfrm>
          <a:off x="705850" y="591767"/>
          <a:ext cx="2009788" cy="508248"/>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a:t>
          </a:r>
          <a:r>
            <a:rPr lang="en-IN" sz="1100" baseline="0"/>
            <a:t> players</a:t>
          </a:r>
        </a:p>
        <a:p>
          <a:r>
            <a:rPr lang="en-IN" sz="1100" baseline="0"/>
            <a:t>50</a:t>
          </a:r>
          <a:endParaRPr lang="en-IN" sz="1100"/>
        </a:p>
      </xdr:txBody>
    </xdr:sp>
    <xdr:clientData/>
  </xdr:twoCellAnchor>
  <xdr:twoCellAnchor>
    <xdr:from>
      <xdr:col>20</xdr:col>
      <xdr:colOff>6990</xdr:colOff>
      <xdr:row>3</xdr:row>
      <xdr:rowOff>27964</xdr:rowOff>
    </xdr:from>
    <xdr:to>
      <xdr:col>22</xdr:col>
      <xdr:colOff>510331</xdr:colOff>
      <xdr:row>6</xdr:row>
      <xdr:rowOff>27964</xdr:rowOff>
    </xdr:to>
    <xdr:sp macro="" textlink="">
      <xdr:nvSpPr>
        <xdr:cNvPr id="34" name="TextBox 33">
          <a:extLst>
            <a:ext uri="{FF2B5EF4-FFF2-40B4-BE49-F238E27FC236}">
              <a16:creationId xmlns:a16="http://schemas.microsoft.com/office/drawing/2014/main" id="{28405399-BF48-2C29-09F0-341A42BB9934}"/>
            </a:ext>
          </a:extLst>
        </xdr:cNvPr>
        <xdr:cNvSpPr txBox="1"/>
      </xdr:nvSpPr>
      <xdr:spPr>
        <a:xfrm>
          <a:off x="12171027" y="573248"/>
          <a:ext cx="1719744" cy="545285"/>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Highest Strike Rate Player</a:t>
          </a:r>
        </a:p>
        <a:p>
          <a:r>
            <a:rPr lang="en-IN"/>
            <a:t>T Banton </a:t>
          </a:r>
          <a:endParaRPr lang="en-IN" sz="1100"/>
        </a:p>
      </xdr:txBody>
    </xdr:sp>
    <xdr:clientData/>
  </xdr:twoCellAnchor>
  <xdr:twoCellAnchor>
    <xdr:from>
      <xdr:col>22</xdr:col>
      <xdr:colOff>496348</xdr:colOff>
      <xdr:row>3</xdr:row>
      <xdr:rowOff>34955</xdr:rowOff>
    </xdr:from>
    <xdr:to>
      <xdr:col>26</xdr:col>
      <xdr:colOff>48936</xdr:colOff>
      <xdr:row>6</xdr:row>
      <xdr:rowOff>6992</xdr:rowOff>
    </xdr:to>
    <xdr:sp macro="" textlink="">
      <xdr:nvSpPr>
        <xdr:cNvPr id="35" name="TextBox 34">
          <a:extLst>
            <a:ext uri="{FF2B5EF4-FFF2-40B4-BE49-F238E27FC236}">
              <a16:creationId xmlns:a16="http://schemas.microsoft.com/office/drawing/2014/main" id="{E4AA92AC-13F6-75CA-4831-BBAD17099A83}"/>
            </a:ext>
          </a:extLst>
        </xdr:cNvPr>
        <xdr:cNvSpPr txBox="1"/>
      </xdr:nvSpPr>
      <xdr:spPr>
        <a:xfrm>
          <a:off x="13876788" y="580239"/>
          <a:ext cx="1985396" cy="517322"/>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Highest Batting Average Player</a:t>
          </a:r>
        </a:p>
        <a:p>
          <a:r>
            <a:rPr lang="en-IN"/>
            <a:t>JW Wells</a:t>
          </a:r>
          <a:endParaRPr lang="en-IN" sz="1100"/>
        </a:p>
      </xdr:txBody>
    </xdr:sp>
    <xdr:clientData/>
  </xdr:twoCellAnchor>
  <xdr:twoCellAnchor editAs="oneCell">
    <xdr:from>
      <xdr:col>26</xdr:col>
      <xdr:colOff>364786</xdr:colOff>
      <xdr:row>11</xdr:row>
      <xdr:rowOff>43612</xdr:rowOff>
    </xdr:from>
    <xdr:to>
      <xdr:col>29</xdr:col>
      <xdr:colOff>251297</xdr:colOff>
      <xdr:row>21</xdr:row>
      <xdr:rowOff>145915</xdr:rowOff>
    </xdr:to>
    <mc:AlternateContent xmlns:mc="http://schemas.openxmlformats.org/markup-compatibility/2006" xmlns:a14="http://schemas.microsoft.com/office/drawing/2010/main">
      <mc:Choice Requires="a14">
        <xdr:graphicFrame macro="">
          <xdr:nvGraphicFramePr>
            <xdr:cNvPr id="36" name="Player">
              <a:extLst>
                <a:ext uri="{FF2B5EF4-FFF2-40B4-BE49-F238E27FC236}">
                  <a16:creationId xmlns:a16="http://schemas.microsoft.com/office/drawing/2014/main" id="{F27C3EDB-DE61-A8FC-E349-3D79CED94202}"/>
                </a:ext>
              </a:extLst>
            </xdr:cNvPr>
            <xdr:cNvGraphicFramePr/>
          </xdr:nvGraphicFramePr>
          <xdr:xfrm>
            <a:off x="0" y="0"/>
            <a:ext cx="0" cy="0"/>
          </xdr:xfrm>
          <a:graphic>
            <a:graphicData uri="http://schemas.microsoft.com/office/drawing/2010/slicer">
              <sle:slicer xmlns:sle="http://schemas.microsoft.com/office/drawing/2010/slicer" name="Player"/>
            </a:graphicData>
          </a:graphic>
        </xdr:graphicFrame>
      </mc:Choice>
      <mc:Fallback xmlns="">
        <xdr:sp macro="" textlink="">
          <xdr:nvSpPr>
            <xdr:cNvPr id="0" name=""/>
            <xdr:cNvSpPr>
              <a:spLocks noTextEdit="1"/>
            </xdr:cNvSpPr>
          </xdr:nvSpPr>
          <xdr:spPr>
            <a:xfrm>
              <a:off x="16172233" y="2094527"/>
              <a:ext cx="1710447" cy="1966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356681</xdr:colOff>
      <xdr:row>37</xdr:row>
      <xdr:rowOff>81064</xdr:rowOff>
    </xdr:from>
    <xdr:to>
      <xdr:col>29</xdr:col>
      <xdr:colOff>308043</xdr:colOff>
      <xdr:row>41</xdr:row>
      <xdr:rowOff>8107</xdr:rowOff>
    </xdr:to>
    <xdr:sp macro="" textlink="">
      <xdr:nvSpPr>
        <xdr:cNvPr id="11" name="TextBox 10">
          <a:extLst>
            <a:ext uri="{FF2B5EF4-FFF2-40B4-BE49-F238E27FC236}">
              <a16:creationId xmlns:a16="http://schemas.microsoft.com/office/drawing/2014/main" id="{1E2923C1-3339-1F8A-C99C-10A03BF55B2F}"/>
            </a:ext>
          </a:extLst>
        </xdr:cNvPr>
        <xdr:cNvSpPr txBox="1"/>
      </xdr:nvSpPr>
      <xdr:spPr>
        <a:xfrm>
          <a:off x="16164128" y="6979596"/>
          <a:ext cx="1775298" cy="67283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Partnership</a:t>
          </a:r>
        </a:p>
      </xdr:txBody>
    </xdr:sp>
    <xdr:clientData/>
  </xdr:twoCellAnchor>
  <xdr:twoCellAnchor editAs="oneCell">
    <xdr:from>
      <xdr:col>26</xdr:col>
      <xdr:colOff>316147</xdr:colOff>
      <xdr:row>41</xdr:row>
      <xdr:rowOff>56097</xdr:rowOff>
    </xdr:from>
    <xdr:to>
      <xdr:col>29</xdr:col>
      <xdr:colOff>303014</xdr:colOff>
      <xdr:row>51</xdr:row>
      <xdr:rowOff>154023</xdr:rowOff>
    </xdr:to>
    <mc:AlternateContent xmlns:mc="http://schemas.openxmlformats.org/markup-compatibility/2006" xmlns:a14="http://schemas.microsoft.com/office/drawing/2010/main">
      <mc:Choice Requires="a14">
        <xdr:graphicFrame macro="">
          <xdr:nvGraphicFramePr>
            <xdr:cNvPr id="16" name="Team">
              <a:extLst>
                <a:ext uri="{FF2B5EF4-FFF2-40B4-BE49-F238E27FC236}">
                  <a16:creationId xmlns:a16="http://schemas.microsoft.com/office/drawing/2014/main" id="{BDCCCC1A-D87F-4285-B9D2-BEE14D76237C}"/>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16123594" y="7700416"/>
              <a:ext cx="1810803" cy="19623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89170</xdr:colOff>
      <xdr:row>19</xdr:row>
      <xdr:rowOff>8107</xdr:rowOff>
    </xdr:from>
    <xdr:to>
      <xdr:col>17</xdr:col>
      <xdr:colOff>97276</xdr:colOff>
      <xdr:row>33</xdr:row>
      <xdr:rowOff>97276</xdr:rowOff>
    </xdr:to>
    <xdr:graphicFrame macro="">
      <xdr:nvGraphicFramePr>
        <xdr:cNvPr id="17" name="Chart 16">
          <a:extLst>
            <a:ext uri="{FF2B5EF4-FFF2-40B4-BE49-F238E27FC236}">
              <a16:creationId xmlns:a16="http://schemas.microsoft.com/office/drawing/2014/main" id="{FFDE001D-660F-410B-9856-ED482EEFA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https://d.docs.live.net/f999e3aaeae2b2f6/Documents/Maha%20Data%20Science/project/BBL_2019-2020_Batting%20(3).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https://d.docs.live.net/f999e3aaeae2b2f6/Documents/Maha%20Data%20Science/project/BBL_2019-2020_Batting%20(3).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skar" refreshedDate="45946.613110185186" createdVersion="8" refreshedVersion="8" minRefreshableVersion="3" recordCount="50" xr:uid="{AFD11000-C54B-444A-88F0-8EF803F0463E}">
  <cacheSource type="worksheet">
    <worksheetSource ref="A1:Z51" sheet="Cricket data"/>
  </cacheSource>
  <cacheFields count="24">
    <cacheField name="Player" numFmtId="0">
      <sharedItems count="50">
        <s v="MP Stoinis"/>
        <s v="AD Hales"/>
        <s v="JR Philippe"/>
        <s v="JW Wells"/>
        <s v="SE Marsh"/>
        <s v="LS Livingstone"/>
        <s v="BJ Webster"/>
        <s v="J Weatherald"/>
        <s v="JP Inglis"/>
        <s v="GJ Maxwell"/>
        <s v="AT Carey"/>
        <s v="UT Khawaja"/>
        <s v="CA Lynn"/>
        <s v="MR Marsh"/>
        <s v="CJ Ferguson"/>
        <s v="AI Ross"/>
        <s v="AJ Finch"/>
        <s v="PD Salt"/>
        <s v="DJM Short"/>
        <s v="MS Wade"/>
        <s v="MT Renshaw"/>
        <s v="JM Vince"/>
        <s v="NCR Larkin"/>
        <s v="CT Bancroft"/>
        <s v="SB Harper"/>
        <s v="MC Henriques"/>
        <s v="DP Hughes"/>
        <s v="BR McDermott"/>
        <s v="HWR Cartwright"/>
        <s v="TM Head"/>
        <s v="T Banton"/>
        <s v="BCJ Cutting"/>
        <s v="DA Miller"/>
        <s v="PSP Handscomb"/>
        <s v="JC Silk"/>
        <s v="CP Jewell"/>
        <s v="MW Short"/>
        <s v="GJ Bailey"/>
        <s v="Mohammad Nabi"/>
        <s v="M Wright"/>
        <s v="AB de Villiers"/>
        <s v="M Bryant"/>
        <s v="NJ Maddinson"/>
        <s v="SD Heazlett"/>
        <s v="TK Curran"/>
        <s v="DT Christian"/>
        <s v="Rashid Khan"/>
        <s v="SPD Smith"/>
        <s v="MS Harris"/>
        <s v="CH Morris"/>
      </sharedItems>
    </cacheField>
    <cacheField name="Team" numFmtId="0">
      <sharedItems count="8">
        <s v="Stars"/>
        <s v="Hurricanes"/>
        <s v="Renegades"/>
        <s v="Heat"/>
        <s v="Scorchers"/>
        <s v="Thunder"/>
        <s v="Sixers"/>
        <s v="Strikers"/>
      </sharedItems>
    </cacheField>
    <cacheField name="Matches" numFmtId="0">
      <sharedItems containsSemiMixedTypes="0" containsString="0" containsNumber="1" containsInteger="1" minValue="4" maxValue="17"/>
    </cacheField>
    <cacheField name="Innings" numFmtId="0">
      <sharedItems containsSemiMixedTypes="0" containsString="0" containsNumber="1" containsInteger="1" minValue="4" maxValue="17"/>
    </cacheField>
    <cacheField name="Not Outs" numFmtId="0">
      <sharedItems containsSemiMixedTypes="0" containsString="0" containsNumber="1" containsInteger="1" minValue="0" maxValue="7"/>
    </cacheField>
    <cacheField name="Total Runs" numFmtId="0">
      <sharedItems containsSemiMixedTypes="0" containsString="0" containsNumber="1" containsInteger="1" minValue="112" maxValue="705" count="46">
        <n v="705"/>
        <n v="576"/>
        <n v="487"/>
        <n v="478"/>
        <n v="449"/>
        <n v="425"/>
        <n v="407"/>
        <n v="405"/>
        <n v="398"/>
        <n v="391"/>
        <n v="388"/>
        <n v="387"/>
        <n v="382"/>
        <n v="376"/>
        <n v="372"/>
        <n v="363"/>
        <n v="361"/>
        <n v="357"/>
        <n v="351"/>
        <n v="348"/>
        <n v="323"/>
        <n v="297"/>
        <n v="290"/>
        <n v="279"/>
        <n v="267"/>
        <n v="265"/>
        <n v="230"/>
        <n v="228"/>
        <n v="223"/>
        <n v="217"/>
        <n v="198"/>
        <n v="188"/>
        <n v="181"/>
        <n v="176"/>
        <n v="173"/>
        <n v="160"/>
        <n v="149"/>
        <n v="146"/>
        <n v="145"/>
        <n v="143"/>
        <n v="133"/>
        <n v="128"/>
        <n v="124"/>
        <n v="120"/>
        <n v="119"/>
        <n v="112"/>
      </sharedItems>
    </cacheField>
    <cacheField name="Balls Faced" numFmtId="0">
      <sharedItems containsSemiMixedTypes="0" containsString="0" containsNumber="1" containsInteger="1" minValue="76" maxValue="516" count="44">
        <n v="516"/>
        <n v="392"/>
        <n v="375"/>
        <n v="353"/>
        <n v="362"/>
        <n v="298"/>
        <n v="322"/>
        <n v="304"/>
        <n v="263"/>
        <n v="268"/>
        <n v="312"/>
        <n v="260"/>
        <n v="297"/>
        <n v="286"/>
        <n v="261"/>
        <n v="220"/>
        <n v="272"/>
        <n v="205"/>
        <n v="262"/>
        <n v="217"/>
        <n v="257"/>
        <n v="193"/>
        <n v="180"/>
        <n v="215"/>
        <n v="216"/>
        <n v="182"/>
        <n v="162"/>
        <n v="126"/>
        <n v="177"/>
        <n v="151"/>
        <n v="146"/>
        <n v="164"/>
        <n v="128"/>
        <n v="116"/>
        <n v="100"/>
        <n v="119"/>
        <n v="104"/>
        <n v="101"/>
        <n v="161"/>
        <n v="89"/>
        <n v="81"/>
        <n v="79"/>
        <n v="113"/>
        <n v="76"/>
      </sharedItems>
    </cacheField>
    <cacheField name="Strike Rate" numFmtId="0">
      <sharedItems containsSemiMixedTypes="0" containsString="0" containsNumber="1" minValue="88.81" maxValue="176.98"/>
    </cacheField>
    <cacheField name="Batting Average" numFmtId="0">
      <sharedItems containsSemiMixedTypes="0" containsString="0" containsNumber="1" minValue="10.210000000000001" maxValue="68.28"/>
    </cacheField>
    <cacheField name="Highest Score" numFmtId="0">
      <sharedItems containsSemiMixedTypes="0" containsString="0" containsNumber="1" containsInteger="1" minValue="21" maxValue="147"/>
    </cacheField>
    <cacheField name="Opposition" numFmtId="0">
      <sharedItems/>
    </cacheField>
    <cacheField name="Match Date" numFmtId="164">
      <sharedItems containsSemiMixedTypes="0" containsNonDate="0" containsDate="1" containsString="0" minDate="2019-12-17T00:00:00" maxDate="2020-02-07T00:00:00" count="28">
        <d v="2020-01-12T00:00:00"/>
        <d v="2020-01-26T00:00:00"/>
        <d v="2020-01-25T00:00:00"/>
        <d v="2020-01-05T00:00:00"/>
        <d v="2019-12-22T00:00:00"/>
        <d v="2020-01-11T00:00:00"/>
        <d v="2020-01-19T00:00:00"/>
        <d v="2020-01-03T00:00:00"/>
        <d v="2020-01-20T00:00:00"/>
        <d v="2020-01-10T00:00:00"/>
        <d v="2020-02-06T00:00:00"/>
        <d v="2019-12-20T00:00:00"/>
        <d v="2019-12-23T00:00:00"/>
        <d v="2019-12-18T00:00:00"/>
        <d v="2020-01-24T00:00:00"/>
        <d v="2019-12-17T00:00:00"/>
        <d v="2019-12-31T00:00:00"/>
        <d v="2020-01-07T00:00:00"/>
        <d v="2020-01-13T00:00:00"/>
        <d v="2020-01-21T00:00:00"/>
        <d v="2019-12-27T00:00:00"/>
        <d v="2020-01-04T00:00:00"/>
        <d v="2019-12-19T00:00:00"/>
        <d v="2019-12-21T00:00:00"/>
        <d v="2020-01-17T00:00:00"/>
        <d v="2020-01-22T00:00:00"/>
        <d v="2020-01-02T00:00:00"/>
        <d v="2020-01-27T00:00:00"/>
      </sharedItems>
      <fieldGroup par="23"/>
    </cacheField>
    <cacheField name="100's" numFmtId="0">
      <sharedItems containsSemiMixedTypes="0" containsString="0" containsNumber="1" containsInteger="1" minValue="0" maxValue="1"/>
    </cacheField>
    <cacheField name="50's" numFmtId="0">
      <sharedItems containsSemiMixedTypes="0" containsString="0" containsNumber="1" containsInteger="1" minValue="0" maxValue="6"/>
    </cacheField>
    <cacheField name="4s" numFmtId="0">
      <sharedItems containsSemiMixedTypes="0" containsString="0" containsNumber="1" containsInteger="1" minValue="7" maxValue="62"/>
    </cacheField>
    <cacheField name="6s" numFmtId="0">
      <sharedItems containsSemiMixedTypes="0" containsString="0" containsNumber="1" containsInteger="1" minValue="1" maxValue="28"/>
    </cacheField>
    <cacheField name="Partnership" numFmtId="0">
      <sharedItems containsBlank="1" count="40">
        <s v="MP Stoinis, HWR Cartwright"/>
        <s v="MS Wade, DJM Short"/>
        <s v="JP Inglis, LS Livingstone"/>
        <s v="MR Marsh, CT Bancroft"/>
        <s v="MP Stoinis, NCR Larkin"/>
        <s v="NCR Larkin, GJ Maxwell"/>
        <s v="JM Vince, MC Henriques"/>
        <s v="JP Inglis, MR Marsh"/>
        <s v="PD Salt, J Weatherald"/>
        <s v="UT Khawaja, AD Hales"/>
        <s v="AD Hales, UT Khawaja"/>
        <s v="TM Head, JW Wells"/>
        <s v="MS Wade, M Wright"/>
        <s v="M Bryant, CA Lynn"/>
        <s v="SE Marsh, BJ Webster"/>
        <s v="T Banton, CA Lynn"/>
        <s v="AT Carey, JW Wells"/>
        <s v="AJ Finch, Mohammad Nabi"/>
        <s v="J Weatherald, MW Short"/>
        <s v="SE Marsh, MS Harris"/>
        <s v="BJ Webster, Mohammad Nabi"/>
        <s v="SD Heazlett, CA Lynn"/>
        <s v="CJ Ferguson, M Gilkes"/>
        <s v="NJ Maddinson, MP Stoinis"/>
        <s v="JW Wells, MW Short"/>
        <s v="PD Salt, TM Head"/>
        <s v="MT Renshaw, AB de Villiers"/>
        <s v="MR Marsh, C Green"/>
        <s v="JR Philippe, JM Vince"/>
        <s v="AJ Finch, SE Marsh"/>
        <s v="DJM Short, BR McDermott"/>
        <s v="SPD Smith, DP Hughes"/>
        <s v="JR Philippe, DP Hughes"/>
        <s v="UT Khawaja, CJ Ferguson"/>
        <s v="JR Philippe, J Avendano"/>
        <s v="J Weatherald, AT Carey"/>
        <s v="SB Harper, BJ Webster"/>
        <s v="J Weatherald, PD Salt"/>
        <s v="AB de Villiers, M Labuschagne"/>
        <m/>
      </sharedItems>
    </cacheField>
    <cacheField name="Partnership Runs" numFmtId="0">
      <sharedItems containsString="0" containsBlank="1" containsNumber="1" containsInteger="1" minValue="69" maxValue="207"/>
    </cacheField>
    <cacheField name="For wicket" numFmtId="0">
      <sharedItems containsBlank="1"/>
    </cacheField>
    <cacheField name="For Team" numFmtId="0">
      <sharedItems containsBlank="1"/>
    </cacheField>
    <cacheField name="Partnership against Team" numFmtId="0">
      <sharedItems containsBlank="1"/>
    </cacheField>
    <cacheField name="Months (Match Date)" numFmtId="0" databaseField="0">
      <fieldGroup base="11">
        <rangePr groupBy="months" startDate="2019-12-17T00:00:00" endDate="2020-02-07T00:00:00"/>
        <groupItems count="14">
          <s v="&lt;17-12-2019"/>
          <s v="Jan"/>
          <s v="Feb"/>
          <s v="Mar"/>
          <s v="Apr"/>
          <s v="May"/>
          <s v="Jun"/>
          <s v="Jul"/>
          <s v="Aug"/>
          <s v="Sep"/>
          <s v="Oct"/>
          <s v="Nov"/>
          <s v="Dec"/>
          <s v="&gt;07-02-2020"/>
        </groupItems>
      </fieldGroup>
    </cacheField>
    <cacheField name="Quarters (Match Date)" numFmtId="0" databaseField="0">
      <fieldGroup base="11">
        <rangePr groupBy="quarters" startDate="2019-12-17T00:00:00" endDate="2020-02-07T00:00:00"/>
        <groupItems count="6">
          <s v="&lt;17-12-2019"/>
          <s v="Qtr1"/>
          <s v="Qtr2"/>
          <s v="Qtr3"/>
          <s v="Qtr4"/>
          <s v="&gt;07-02-2020"/>
        </groupItems>
      </fieldGroup>
    </cacheField>
    <cacheField name="Years (Match Date)" numFmtId="0" databaseField="0">
      <fieldGroup base="11">
        <rangePr groupBy="years" startDate="2019-12-17T00:00:00" endDate="2020-02-07T00:00:00"/>
        <groupItems count="4">
          <s v="&lt;17-12-2019"/>
          <s v="2019"/>
          <s v="2020"/>
          <s v="&gt;07-02-2020"/>
        </groupItems>
      </fieldGroup>
    </cacheField>
  </cacheFields>
  <extLst>
    <ext xmlns:x14="http://schemas.microsoft.com/office/spreadsheetml/2009/9/main" uri="{725AE2AE-9491-48be-B2B4-4EB974FC3084}">
      <x14:pivotCacheDefinition pivotCacheId="69923207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shad Ayub Selia" refreshedDate="45949.6321537037" createdVersion="8" refreshedVersion="8" minRefreshableVersion="3" recordCount="50" xr:uid="{6DCFEFB8-6C7F-441B-A9E2-768479DAC092}">
  <cacheSource type="worksheet">
    <worksheetSource ref="A1:X51" sheet="Cricket data" r:id="rId2"/>
  </cacheSource>
  <cacheFields count="27">
    <cacheField name="Player" numFmtId="0">
      <sharedItems count="53">
        <s v="MP Stoinis"/>
        <s v="AD Hales"/>
        <s v="JW Wells"/>
        <s v="JR Philippe"/>
        <s v="SE Marsh"/>
        <s v="LS Livingstone"/>
        <s v="JP Inglis"/>
        <s v="BJ Webster"/>
        <s v="GJ Maxwell"/>
        <s v="J Weatherald"/>
        <s v="CA Lynn"/>
        <s v="MS Wade"/>
        <s v="PD Salt"/>
        <s v="MR Marsh"/>
        <s v="AT Carey"/>
        <s v="AJ Finch"/>
        <s v="UT Khawaja"/>
        <s v="AI Ross"/>
        <s v="DJM Short"/>
        <s v="CJ Ferguson"/>
        <s v="MT Renshaw"/>
        <s v="NCR Larkin"/>
        <s v="JM Vince"/>
        <s v="SB Harper"/>
        <s v="MC Henriques"/>
        <s v="T Banton"/>
        <s v="CT Bancroft"/>
        <s v="DP Hughes"/>
        <s v="BR McDermott"/>
        <s v="TM Head"/>
        <s v="HWR Cartwright"/>
        <s v="Mohammad Nabi"/>
        <s v="BCJ Cutting"/>
        <s v="DA Miller"/>
        <s v="PSP Handscomb"/>
        <s v="GJ Bailey"/>
        <s v="MW Short"/>
        <s v="M Wright"/>
        <s v="CP Jewell"/>
        <s v="JC Silk"/>
        <s v="M Bryant"/>
        <s v="SPD Smith"/>
        <s v="AB de Villiers"/>
        <s v="TK Curran"/>
        <s v="Rashid Khan"/>
        <s v="SD Heazlett"/>
        <s v="CH Morris"/>
        <s v="DT Christian"/>
        <s v="NJ Maddinson"/>
        <s v="MS Harris"/>
        <s v="LS Liingstone" u="1"/>
        <s v="JM ince" u="1"/>
        <s v="AB de illiers" u="1"/>
      </sharedItems>
    </cacheField>
    <cacheField name="Team" numFmtId="0">
      <sharedItems/>
    </cacheField>
    <cacheField name="Matches" numFmtId="0">
      <sharedItems containsSemiMixedTypes="0" containsString="0" containsNumber="1" containsInteger="1" minValue="4" maxValue="17"/>
    </cacheField>
    <cacheField name="Innings" numFmtId="0">
      <sharedItems containsSemiMixedTypes="0" containsString="0" containsNumber="1" containsInteger="1" minValue="4" maxValue="17"/>
    </cacheField>
    <cacheField name="Not Outs" numFmtId="0">
      <sharedItems containsSemiMixedTypes="0" containsString="0" containsNumber="1" containsInteger="1" minValue="0" maxValue="7"/>
    </cacheField>
    <cacheField name="Total Runs" numFmtId="0">
      <sharedItems containsSemiMixedTypes="0" containsString="0" containsNumber="1" containsInteger="1" minValue="112" maxValue="705"/>
    </cacheField>
    <cacheField name="Balls Faced" numFmtId="0">
      <sharedItems containsSemiMixedTypes="0" containsString="0" containsNumber="1" containsInteger="1" minValue="76" maxValue="516"/>
    </cacheField>
    <cacheField name="Strike Rate" numFmtId="0">
      <sharedItems containsSemiMixedTypes="0" containsString="0" containsNumber="1" minValue="88.81" maxValue="176.98"/>
    </cacheField>
    <cacheField name="Batting Average" numFmtId="0">
      <sharedItems containsSemiMixedTypes="0" containsString="0" containsNumber="1" minValue="10.210000000000001" maxValue="68.28"/>
    </cacheField>
    <cacheField name="Performance Score " numFmtId="0">
      <sharedItems containsSemiMixedTypes="0" containsString="0" containsNumber="1" minValue="256.02" maxValue="985.85"/>
    </cacheField>
    <cacheField name="Rankings " numFmtId="0">
      <sharedItems containsSemiMixedTypes="0" containsString="0" containsNumber="1" containsInteger="1" minValue="1" maxValue="50"/>
    </cacheField>
    <cacheField name="Highest Score" numFmtId="0">
      <sharedItems containsSemiMixedTypes="0" containsString="0" containsNumber="1" containsInteger="1" minValue="21" maxValue="147"/>
    </cacheField>
    <cacheField name="Opposition" numFmtId="0">
      <sharedItems count="16">
        <s v="v Sixers"/>
        <s v="v Strikers"/>
        <s v="v Scorchers"/>
        <s v="v Heat"/>
        <s v="v Hurricanes"/>
        <s v="v Thunder"/>
        <s v="v Renegades"/>
        <s v="v Stars"/>
        <s v="Sixers" u="1"/>
        <s v="Strikers" u="1"/>
        <s v="Scorchers" u="1"/>
        <s v="Heat" u="1"/>
        <s v="Hurricanes" u="1"/>
        <s v="Renegades" u="1"/>
        <s v="Thunder" u="1"/>
        <s v="Stars" u="1"/>
      </sharedItems>
    </cacheField>
    <cacheField name="Match Date" numFmtId="164">
      <sharedItems containsSemiMixedTypes="0" containsNonDate="0" containsDate="1" containsString="0" minDate="2019-12-17T00:00:00" maxDate="2020-02-07T00:00:00" count="28">
        <d v="2020-01-12T00:00:00"/>
        <d v="2020-01-26T00:00:00"/>
        <d v="2020-01-05T00:00:00"/>
        <d v="2020-01-25T00:00:00"/>
        <d v="2019-12-22T00:00:00"/>
        <d v="2020-01-11T00:00:00"/>
        <d v="2020-01-20T00:00:00"/>
        <d v="2020-01-19T00:00:00"/>
        <d v="2020-01-03T00:00:00"/>
        <d v="2019-12-20T00:00:00"/>
        <d v="2019-12-23T00:00:00"/>
        <d v="2020-01-10T00:00:00"/>
        <d v="2020-02-06T00:00:00"/>
        <d v="2019-12-18T00:00:00"/>
        <d v="2020-01-24T00:00:00"/>
        <d v="2019-12-17T00:00:00"/>
        <d v="2020-01-07T00:00:00"/>
        <d v="2019-12-31T00:00:00"/>
        <d v="2020-01-04T00:00:00"/>
        <d v="2020-01-13T00:00:00"/>
        <d v="2020-01-21T00:00:00"/>
        <d v="2019-12-27T00:00:00"/>
        <d v="2020-01-22T00:00:00"/>
        <d v="2019-12-19T00:00:00"/>
        <d v="2019-12-21T00:00:00"/>
        <d v="2020-01-17T00:00:00"/>
        <d v="2020-01-02T00:00:00"/>
        <d v="2020-01-27T00:00:00"/>
      </sharedItems>
      <fieldGroup par="26"/>
    </cacheField>
    <cacheField name="100's" numFmtId="0">
      <sharedItems containsSemiMixedTypes="0" containsString="0" containsNumber="1" containsInteger="1" minValue="0" maxValue="1" count="2">
        <n v="1"/>
        <n v="0"/>
      </sharedItems>
    </cacheField>
    <cacheField name="50's" numFmtId="0">
      <sharedItems containsSemiMixedTypes="0" containsString="0" containsNumber="1" containsInteger="1" minValue="0" maxValue="6"/>
    </cacheField>
    <cacheField name="4s" numFmtId="0">
      <sharedItems containsSemiMixedTypes="0" containsString="0" containsNumber="1" containsInteger="1" minValue="7" maxValue="62"/>
    </cacheField>
    <cacheField name="6s" numFmtId="0">
      <sharedItems containsSemiMixedTypes="0" containsString="0" containsNumber="1" containsInteger="1" minValue="1" maxValue="28"/>
    </cacheField>
    <cacheField name="Total Boundries " numFmtId="0">
      <sharedItems containsSemiMixedTypes="0" containsString="0" containsNumber="1" containsInteger="1" minValue="10" maxValue="90"/>
    </cacheField>
    <cacheField name="Boundry Runs" numFmtId="0">
      <sharedItems containsSemiMixedTypes="0" containsString="0" containsNumber="1" containsInteger="1" minValue="46" maxValue="416"/>
    </cacheField>
    <cacheField name="Boundries%" numFmtId="0">
      <sharedItems containsSemiMixedTypes="0" containsString="0" containsNumber="1" minValue="24.46" maxValue="75.33"/>
    </cacheField>
    <cacheField name="Partnership" numFmtId="0">
      <sharedItems containsBlank="1" count="40">
        <s v="MP Stoinis, HWR Cartwright"/>
        <s v="MS Wade, DJM Short"/>
        <s v="MR Marsh, CT Bancroft"/>
        <s v="JP Inglis, LS Livingstone"/>
        <s v="MP Stoinis, NCR Larkin"/>
        <s v="JM Vince, MC Henriques"/>
        <s v="JP Inglis, MR Marsh"/>
        <s v="NCR Larkin, GJ Maxwell"/>
        <s v="T Banton, CA Lynn"/>
        <s v="M Bryant, CA Lynn"/>
        <s v="AD Hales, UT Khawaja"/>
        <s v="PD Salt, J Weatherald"/>
        <s v="UT Khawaja, AD Hales"/>
        <s v="MS Wade, M Wright"/>
        <s v="SE Marsh, BJ Webster"/>
        <s v="TM Head, JW Wells"/>
        <s v="AT Carey, JW Wells"/>
        <s v="J Weatherald, MW Short"/>
        <s v="AJ Finch, Mohammad Nabi"/>
        <s v="BJ Webster, Mohammad Nabi"/>
        <s v="SD Heazlett, CA Lynn"/>
        <s v="JW Wells, MW Short"/>
        <s v="SE Marsh, MS Harris"/>
        <s v="NJ Maddinson, MP Stoinis"/>
        <s v="CJ Ferguson, M Gilkes"/>
        <s v="JR Philippe, DP Hughes"/>
        <s v="PD Salt, TM Head"/>
        <s v="MT Renshaw, AB de Villiers"/>
        <s v="MR Marsh, C Green"/>
        <s v="SPD Smith, DP Hughes"/>
        <s v="DJM Short, BR McDermott"/>
        <s v="UT Khawaja, CJ Ferguson"/>
        <s v="AJ Finch, SE Marsh"/>
        <s v="JR Philippe, JM Vince"/>
        <s v="JR Philippe, J Avendano"/>
        <s v="AB de Villiers, M Labuschagne"/>
        <s v="SB Harper, BJ Webster"/>
        <s v="J Weatherald, AT Carey"/>
        <m/>
        <s v="J Weatherald, PD Salt"/>
      </sharedItems>
    </cacheField>
    <cacheField name="Partnership Runs" numFmtId="0">
      <sharedItems containsString="0" containsBlank="1" containsNumber="1" containsInteger="1" minValue="69" maxValue="207"/>
    </cacheField>
    <cacheField name="For wicket" numFmtId="0">
      <sharedItems containsBlank="1" count="6">
        <s v="1st"/>
        <s v="4th"/>
        <s v="2nd"/>
        <s v="3rd"/>
        <s v="5th"/>
        <m/>
      </sharedItems>
    </cacheField>
    <cacheField name="Months (Match Date)" numFmtId="0" databaseField="0">
      <fieldGroup base="13">
        <rangePr groupBy="months" startDate="2019-12-17T00:00:00" endDate="2020-02-07T00:00:00"/>
        <groupItems count="14">
          <s v="&lt;17-12-2019"/>
          <s v="Jan"/>
          <s v="Feb"/>
          <s v="Mar"/>
          <s v="Apr"/>
          <s v="May"/>
          <s v="Jun"/>
          <s v="Jul"/>
          <s v="Aug"/>
          <s v="Sep"/>
          <s v="Oct"/>
          <s v="Nov"/>
          <s v="Dec"/>
          <s v="&gt;07-02-2020"/>
        </groupItems>
      </fieldGroup>
    </cacheField>
    <cacheField name="Quarters (Match Date)" numFmtId="0" databaseField="0">
      <fieldGroup base="13">
        <rangePr groupBy="quarters" startDate="2019-12-17T00:00:00" endDate="2020-02-07T00:00:00"/>
        <groupItems count="6">
          <s v="&lt;17-12-2019"/>
          <s v="Qtr1"/>
          <s v="Qtr2"/>
          <s v="Qtr3"/>
          <s v="Qtr4"/>
          <s v="&gt;07-02-2020"/>
        </groupItems>
      </fieldGroup>
    </cacheField>
    <cacheField name="Years (Match Date)" numFmtId="0" databaseField="0">
      <fieldGroup base="13">
        <rangePr groupBy="years" startDate="2019-12-17T00:00:00" endDate="2020-02-07T00:00:00"/>
        <groupItems count="4">
          <s v="&lt;17-12-2019"/>
          <s v="2019"/>
          <s v="2020"/>
          <s v="&gt;07-02-2020"/>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shad Ayub Selia" refreshedDate="45949.66082488426" createdVersion="8" refreshedVersion="8" minRefreshableVersion="3" recordCount="50" xr:uid="{94AEE927-60DE-467E-8D0F-863F9D9224A6}">
  <cacheSource type="worksheet">
    <worksheetSource ref="A1:AA51" sheet="Cricket data" r:id="rId2"/>
  </cacheSource>
  <cacheFields count="27">
    <cacheField name="Player" numFmtId="0">
      <sharedItems count="50">
        <s v="MP Stoinis"/>
        <s v="AD Hales"/>
        <s v="JW Wells"/>
        <s v="JR Philippe"/>
        <s v="SE Marsh"/>
        <s v="LS Livingstone"/>
        <s v="JP Inglis"/>
        <s v="BJ Webster"/>
        <s v="GJ Maxwell"/>
        <s v="J Weatherald"/>
        <s v="CA Lynn"/>
        <s v="MS Wade"/>
        <s v="PD Salt"/>
        <s v="MR Marsh"/>
        <s v="AT Carey"/>
        <s v="AJ Finch"/>
        <s v="UT Khawaja"/>
        <s v="AI Ross"/>
        <s v="DJM Short"/>
        <s v="CJ Ferguson"/>
        <s v="MT Renshaw"/>
        <s v="NCR Larkin"/>
        <s v="JM Vince"/>
        <s v="SB Harper"/>
        <s v="MC Henriques"/>
        <s v="T Banton"/>
        <s v="CT Bancroft"/>
        <s v="DP Hughes"/>
        <s v="BR McDermott"/>
        <s v="TM Head"/>
        <s v="HWR Cartwright"/>
        <s v="Mohammad Nabi"/>
        <s v="BCJ Cutting"/>
        <s v="DA Miller"/>
        <s v="PSP Handscomb"/>
        <s v="GJ Bailey"/>
        <s v="MW Short"/>
        <s v="M Wright"/>
        <s v="CP Jewell"/>
        <s v="JC Silk"/>
        <s v="M Bryant"/>
        <s v="SPD Smith"/>
        <s v="AB de Villiers"/>
        <s v="TK Curran"/>
        <s v="Rashid Khan"/>
        <s v="SD Heazlett"/>
        <s v="CH Morris"/>
        <s v="DT Christian"/>
        <s v="NJ Maddinson"/>
        <s v="MS Harris"/>
      </sharedItems>
    </cacheField>
    <cacheField name="Team" numFmtId="0">
      <sharedItems/>
    </cacheField>
    <cacheField name="Matches" numFmtId="0">
      <sharedItems containsSemiMixedTypes="0" containsString="0" containsNumber="1" containsInteger="1" minValue="4" maxValue="17" count="13">
        <n v="17"/>
        <n v="15"/>
        <n v="16"/>
        <n v="12"/>
        <n v="14"/>
        <n v="9"/>
        <n v="11"/>
        <n v="7"/>
        <n v="8"/>
        <n v="6"/>
        <n v="5"/>
        <n v="10"/>
        <n v="4"/>
      </sharedItems>
    </cacheField>
    <cacheField name="Innings" numFmtId="0">
      <sharedItems containsSemiMixedTypes="0" containsString="0" containsNumber="1" containsInteger="1" minValue="4" maxValue="17"/>
    </cacheField>
    <cacheField name="Not Outs" numFmtId="0">
      <sharedItems containsSemiMixedTypes="0" containsString="0" containsNumber="1" containsInteger="1" minValue="0" maxValue="7"/>
    </cacheField>
    <cacheField name="Total Runs" numFmtId="0">
      <sharedItems containsSemiMixedTypes="0" containsString="0" containsNumber="1" containsInteger="1" minValue="112" maxValue="705" count="46">
        <n v="705"/>
        <n v="576"/>
        <n v="478"/>
        <n v="487"/>
        <n v="449"/>
        <n v="425"/>
        <n v="405"/>
        <n v="398"/>
        <n v="407"/>
        <n v="387"/>
        <n v="351"/>
        <n v="361"/>
        <n v="382"/>
        <n v="391"/>
        <n v="363"/>
        <n v="388"/>
        <n v="372"/>
        <n v="357"/>
        <n v="376"/>
        <n v="348"/>
        <n v="297"/>
        <n v="323"/>
        <n v="279"/>
        <n v="267"/>
        <n v="223"/>
        <n v="290"/>
        <n v="265"/>
        <n v="228"/>
        <n v="230"/>
        <n v="160"/>
        <n v="217"/>
        <n v="198"/>
        <n v="188"/>
        <n v="173"/>
        <n v="176"/>
        <n v="149"/>
        <n v="181"/>
        <n v="145"/>
        <n v="120"/>
        <n v="146"/>
        <n v="133"/>
        <n v="124"/>
        <n v="112"/>
        <n v="128"/>
        <n v="143"/>
        <n v="119"/>
      </sharedItems>
    </cacheField>
    <cacheField name="Balls Faced" numFmtId="0">
      <sharedItems containsSemiMixedTypes="0" containsString="0" containsNumber="1" containsInteger="1" minValue="76" maxValue="516"/>
    </cacheField>
    <cacheField name="Strike Rate" numFmtId="0">
      <sharedItems containsSemiMixedTypes="0" containsString="0" containsNumber="1" minValue="88.81" maxValue="176.98" count="50">
        <n v="136.62"/>
        <n v="146.93"/>
        <n v="135.41"/>
        <n v="129.86000000000001"/>
        <n v="124.03"/>
        <n v="142.61000000000001"/>
        <n v="153.99"/>
        <n v="131.97999999999999"/>
        <n v="148.5"/>
        <n v="133.88"/>
        <n v="148.84"/>
        <n v="171.21"/>
        <n v="164.09"/>
        <n v="145.24"/>
        <n v="125.32"/>
        <n v="139.08000000000001"/>
        <n v="124.35"/>
        <n v="130.06"/>
        <n v="131.25"/>
        <n v="126.59"/>
        <n v="129.85"/>
        <n v="136.86000000000001"/>
        <n v="123.28"/>
        <n v="144.55000000000001"/>
        <n v="148.33000000000001"/>
        <n v="176.98"/>
        <n v="112.84"/>
        <n v="124.18"/>
        <n v="122.68"/>
        <n v="140.74"/>
        <n v="126.37"/>
        <n v="160"/>
        <n v="122.59"/>
        <n v="131.12"/>
        <n v="128.76"/>
        <n v="149.13"/>
        <n v="137.5"/>
        <n v="125.21"/>
        <n v="110.36"/>
        <n v="106.21"/>
        <n v="143.56"/>
        <n v="151.88999999999999"/>
        <n v="140.38"/>
        <n v="149.43"/>
        <n v="153.08000000000001"/>
        <n v="127.88"/>
        <n v="147.36000000000001"/>
        <n v="126.73"/>
        <n v="88.81"/>
        <n v="105.3"/>
      </sharedItems>
    </cacheField>
    <cacheField name="Batting Average" numFmtId="0">
      <sharedItems containsSemiMixedTypes="0" containsString="0" containsNumber="1" minValue="10.210000000000001" maxValue="68.28"/>
    </cacheField>
    <cacheField name="Performance Points" numFmtId="1">
      <sharedItems containsSemiMixedTypes="0" containsString="0" containsNumber="1" minValue="250.52" maxValue="985.85" count="50">
        <n v="985.85"/>
        <n v="843.33"/>
        <n v="728.68999999999994"/>
        <n v="711.32"/>
        <n v="664.43999999999994"/>
        <n v="650.96"/>
        <n v="643.91"/>
        <n v="642.48"/>
        <n v="634.29999999999995"/>
        <n v="629.95000000000005"/>
        <n v="624.6"/>
        <n v="617.35"/>
        <n v="607.87"/>
        <n v="600.96"/>
        <n v="594.8599999999999"/>
        <n v="586.45000000000005"/>
        <n v="582.17000000000007"/>
        <n v="578.26"/>
        <n v="574.87"/>
        <n v="574.51"/>
        <n v="546.85"/>
        <n v="507.98"/>
        <n v="502.34999999999997"/>
        <n v="486.91"/>
        <n v="466.6"/>
        <n v="465.83000000000004"/>
        <n v="454.84000000000003"/>
        <n v="443.71000000000004"/>
        <n v="436.18"/>
        <n v="430.31"/>
        <n v="427.7"/>
        <n v="391.33"/>
        <n v="390.70000000000005"/>
        <n v="370.12"/>
        <n v="367.09"/>
        <n v="366.75"/>
        <n v="348.5"/>
        <n v="339.87"/>
        <n v="331.46000000000004"/>
        <n v="331.06"/>
        <n v="327.06"/>
        <n v="326.89"/>
        <n v="324.70999999999998"/>
        <n v="318.43"/>
        <n v="310.58000000000004"/>
        <n v="295.5"/>
        <n v="284.8"/>
        <n v="280.53000000000003"/>
        <n v="261.02"/>
        <n v="250.52"/>
      </sharedItems>
    </cacheField>
    <cacheField name="Rankings " numFmtId="0">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cacheField>
    <cacheField name="Highest Score" numFmtId="0">
      <sharedItems containsSemiMixedTypes="0" containsString="0" containsNumber="1" containsInteger="1" minValue="21" maxValue="147"/>
    </cacheField>
    <cacheField name="Opposition" numFmtId="0">
      <sharedItems/>
    </cacheField>
    <cacheField name="Match Date" numFmtId="164">
      <sharedItems containsSemiMixedTypes="0" containsNonDate="0" containsDate="1" containsString="0" minDate="2019-12-17T00:00:00" maxDate="2020-02-07T00:00:00"/>
    </cacheField>
    <cacheField name="100's" numFmtId="0">
      <sharedItems containsSemiMixedTypes="0" containsString="0" containsNumber="1" containsInteger="1" minValue="0" maxValue="1"/>
    </cacheField>
    <cacheField name="50's" numFmtId="0">
      <sharedItems containsSemiMixedTypes="0" containsString="0" containsNumber="1" containsInteger="1" minValue="0" maxValue="6"/>
    </cacheField>
    <cacheField name="4s" numFmtId="0">
      <sharedItems containsSemiMixedTypes="0" containsString="0" containsNumber="1" containsInteger="1" minValue="7" maxValue="62" count="32">
        <n v="62"/>
        <n v="59"/>
        <n v="38"/>
        <n v="41"/>
        <n v="40"/>
        <n v="26"/>
        <n v="28"/>
        <n v="47"/>
        <n v="36"/>
        <n v="30"/>
        <n v="45"/>
        <n v="19"/>
        <n v="23"/>
        <n v="42"/>
        <n v="25"/>
        <n v="35"/>
        <n v="27"/>
        <n v="29"/>
        <n v="24"/>
        <n v="12"/>
        <n v="18"/>
        <n v="16"/>
        <n v="11"/>
        <n v="17"/>
        <n v="10"/>
        <n v="14"/>
        <n v="15"/>
        <n v="21"/>
        <n v="7"/>
        <n v="8"/>
        <n v="13"/>
        <n v="9"/>
      </sharedItems>
    </cacheField>
    <cacheField name="6s" numFmtId="0">
      <sharedItems containsSemiMixedTypes="0" containsString="0" containsNumber="1" containsInteger="1" minValue="1" maxValue="28" count="21">
        <n v="28"/>
        <n v="23"/>
        <n v="9"/>
        <n v="16"/>
        <n v="14"/>
        <n v="27"/>
        <n v="15"/>
        <n v="17"/>
        <n v="20"/>
        <n v="13"/>
        <n v="12"/>
        <n v="5"/>
        <n v="8"/>
        <n v="10"/>
        <n v="7"/>
        <n v="4"/>
        <n v="11"/>
        <n v="6"/>
        <n v="1"/>
        <n v="3"/>
        <n v="2"/>
      </sharedItems>
    </cacheField>
    <cacheField name="Total Boundries " numFmtId="0">
      <sharedItems containsSemiMixedTypes="0" containsString="0" containsNumber="1" containsInteger="1" minValue="10" maxValue="90"/>
    </cacheField>
    <cacheField name="Boundry Runs" numFmtId="0">
      <sharedItems containsSemiMixedTypes="0" containsString="0" containsNumber="1" containsInteger="1" minValue="46" maxValue="416"/>
    </cacheField>
    <cacheField name="Boundries%" numFmtId="0">
      <sharedItems containsSemiMixedTypes="0" containsString="0" containsNumber="1" minValue="24.46" maxValue="75.33"/>
    </cacheField>
    <cacheField name="Partnership" numFmtId="0">
      <sharedItems containsBlank="1"/>
    </cacheField>
    <cacheField name="Partnership Runs" numFmtId="0">
      <sharedItems containsString="0" containsBlank="1" containsNumber="1" containsInteger="1" minValue="69" maxValue="207"/>
    </cacheField>
    <cacheField name="For wicket" numFmtId="0">
      <sharedItems containsBlank="1"/>
    </cacheField>
    <cacheField name="For Team" numFmtId="0">
      <sharedItems containsBlank="1"/>
    </cacheField>
    <cacheField name="Partnership against Team" numFmtId="0">
      <sharedItems containsBlank="1"/>
    </cacheField>
    <cacheField name="Month" numFmtId="0">
      <sharedItems count="3">
        <s v="Jan"/>
        <s v="Dec"/>
        <s v="Feb"/>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n v="17"/>
    <n v="17"/>
    <n v="4"/>
    <x v="0"/>
    <x v="0"/>
    <n v="136.62"/>
    <n v="54.23"/>
    <n v="147"/>
    <s v="v Sixers"/>
    <x v="0"/>
    <n v="1"/>
    <n v="6"/>
    <n v="62"/>
    <n v="28"/>
    <x v="0"/>
    <n v="207"/>
    <s v="1st"/>
    <s v="Stars"/>
    <s v="v Sixers"/>
  </r>
  <r>
    <x v="1"/>
    <x v="1"/>
    <n v="17"/>
    <n v="17"/>
    <n v="2"/>
    <x v="1"/>
    <x v="1"/>
    <n v="146.93"/>
    <n v="38.4"/>
    <n v="85"/>
    <s v="v Strikers"/>
    <x v="1"/>
    <n v="0"/>
    <n v="6"/>
    <n v="59"/>
    <n v="23"/>
    <x v="1"/>
    <n v="203"/>
    <s v="1st"/>
    <s v="Hurricanes"/>
    <s v="v Strikers"/>
  </r>
  <r>
    <x v="2"/>
    <x v="2"/>
    <n v="16"/>
    <n v="16"/>
    <n v="3"/>
    <x v="2"/>
    <x v="2"/>
    <n v="129.86000000000001"/>
    <n v="37.46"/>
    <n v="83"/>
    <s v="v Sixers"/>
    <x v="2"/>
    <n v="0"/>
    <n v="5"/>
    <n v="41"/>
    <n v="16"/>
    <x v="2"/>
    <n v="136"/>
    <s v="1st"/>
    <s v="Scorchers"/>
    <s v="v Thunder"/>
  </r>
  <r>
    <x v="3"/>
    <x v="1"/>
    <n v="15"/>
    <n v="14"/>
    <n v="7"/>
    <x v="3"/>
    <x v="3"/>
    <n v="135.41"/>
    <n v="68.28"/>
    <n v="68"/>
    <s v="v Scorchers"/>
    <x v="3"/>
    <n v="0"/>
    <n v="4"/>
    <n v="38"/>
    <n v="9"/>
    <x v="3"/>
    <n v="124"/>
    <s v="4th"/>
    <s v="Scorchers"/>
    <s v="v Heat"/>
  </r>
  <r>
    <x v="4"/>
    <x v="3"/>
    <n v="12"/>
    <n v="12"/>
    <n v="0"/>
    <x v="4"/>
    <x v="4"/>
    <n v="124.03"/>
    <n v="37.409999999999997"/>
    <n v="63"/>
    <s v="v Sixers"/>
    <x v="4"/>
    <n v="0"/>
    <n v="3"/>
    <n v="40"/>
    <n v="14"/>
    <x v="2"/>
    <n v="124"/>
    <s v="1st"/>
    <s v="Scorchers"/>
    <s v="v Strikers"/>
  </r>
  <r>
    <x v="5"/>
    <x v="4"/>
    <n v="14"/>
    <n v="14"/>
    <n v="0"/>
    <x v="5"/>
    <x v="5"/>
    <n v="142.61000000000001"/>
    <n v="30.35"/>
    <n v="79"/>
    <s v="v Heat"/>
    <x v="5"/>
    <n v="0"/>
    <n v="4"/>
    <n v="26"/>
    <n v="27"/>
    <x v="4"/>
    <n v="123"/>
    <s v="2nd"/>
    <s v="Stars"/>
    <s v="v Thunder"/>
  </r>
  <r>
    <x v="6"/>
    <x v="1"/>
    <n v="14"/>
    <n v="14"/>
    <n v="4"/>
    <x v="5"/>
    <x v="6"/>
    <n v="131.97999999999999"/>
    <n v="42.5"/>
    <n v="67"/>
    <s v="v Strikers"/>
    <x v="6"/>
    <n v="0"/>
    <n v="3"/>
    <n v="26"/>
    <n v="17"/>
    <x v="4"/>
    <n v="117"/>
    <s v="2nd"/>
    <s v="Stars"/>
    <s v="v Thunder"/>
  </r>
  <r>
    <x v="7"/>
    <x v="3"/>
    <n v="15"/>
    <n v="15"/>
    <n v="1"/>
    <x v="6"/>
    <x v="7"/>
    <n v="133.88"/>
    <n v="29.07"/>
    <n v="83"/>
    <s v="v Hurricanes"/>
    <x v="7"/>
    <n v="0"/>
    <n v="2"/>
    <n v="47"/>
    <n v="13"/>
    <x v="5"/>
    <n v="115"/>
    <s v="4th"/>
    <s v="Stars"/>
    <s v="v Renegades"/>
  </r>
  <r>
    <x v="8"/>
    <x v="5"/>
    <n v="14"/>
    <n v="14"/>
    <n v="0"/>
    <x v="7"/>
    <x v="8"/>
    <n v="153.99"/>
    <n v="28.92"/>
    <n v="73"/>
    <s v="v Scorchers"/>
    <x v="8"/>
    <n v="0"/>
    <n v="4"/>
    <n v="41"/>
    <n v="15"/>
    <x v="6"/>
    <n v="114"/>
    <s v="3rd"/>
    <s v="Sixers"/>
    <s v="v Stars"/>
  </r>
  <r>
    <x v="9"/>
    <x v="6"/>
    <n v="17"/>
    <n v="16"/>
    <n v="6"/>
    <x v="8"/>
    <x v="9"/>
    <n v="148.5"/>
    <n v="39.799999999999997"/>
    <n v="83"/>
    <s v="v Strikers"/>
    <x v="3"/>
    <n v="0"/>
    <n v="3"/>
    <n v="28"/>
    <n v="20"/>
    <x v="7"/>
    <n v="109"/>
    <s v="3rd"/>
    <s v="Scorchers"/>
    <s v="v Hurricanes"/>
  </r>
  <r>
    <x v="10"/>
    <x v="0"/>
    <n v="11"/>
    <n v="11"/>
    <n v="0"/>
    <x v="9"/>
    <x v="10"/>
    <n v="125.32"/>
    <n v="35.54"/>
    <n v="55"/>
    <s v="v Renegades"/>
    <x v="9"/>
    <n v="0"/>
    <n v="1"/>
    <n v="30"/>
    <n v="13"/>
    <x v="8"/>
    <n v="104"/>
    <s v="1st"/>
    <s v="Strikers"/>
    <s v="v Heat"/>
  </r>
  <r>
    <x v="11"/>
    <x v="0"/>
    <n v="17"/>
    <n v="17"/>
    <n v="0"/>
    <x v="10"/>
    <x v="10"/>
    <n v="124.35"/>
    <n v="22.82"/>
    <n v="66"/>
    <s v="v Thunder"/>
    <x v="10"/>
    <n v="0"/>
    <n v="3"/>
    <n v="42"/>
    <n v="5"/>
    <x v="9"/>
    <n v="103"/>
    <s v="1st"/>
    <s v="Thunder"/>
    <s v="v Hurricanes"/>
  </r>
  <r>
    <x v="12"/>
    <x v="0"/>
    <n v="14"/>
    <n v="14"/>
    <n v="1"/>
    <x v="11"/>
    <x v="11"/>
    <n v="148.84"/>
    <n v="29.76"/>
    <n v="94"/>
    <s v="v Heat"/>
    <x v="11"/>
    <n v="0"/>
    <n v="2"/>
    <n v="36"/>
    <n v="23"/>
    <x v="2"/>
    <n v="102"/>
    <s v="1st"/>
    <s v="Scorchers"/>
    <s v="v Renegades"/>
  </r>
  <r>
    <x v="13"/>
    <x v="7"/>
    <n v="14"/>
    <n v="14"/>
    <n v="3"/>
    <x v="12"/>
    <x v="8"/>
    <n v="145.24"/>
    <n v="34.72"/>
    <n v="93"/>
    <s v="v Scorchers"/>
    <x v="12"/>
    <n v="0"/>
    <n v="2"/>
    <n v="19"/>
    <n v="20"/>
    <x v="10"/>
    <n v="99"/>
    <s v="1st"/>
    <s v="Thunder"/>
    <s v="v Renegades"/>
  </r>
  <r>
    <x v="14"/>
    <x v="0"/>
    <n v="17"/>
    <n v="17"/>
    <n v="4"/>
    <x v="13"/>
    <x v="12"/>
    <n v="126.59"/>
    <n v="28.92"/>
    <n v="73"/>
    <s v="v Thunder"/>
    <x v="10"/>
    <n v="0"/>
    <n v="3"/>
    <n v="35"/>
    <n v="8"/>
    <x v="11"/>
    <n v="97"/>
    <s v="3rd"/>
    <s v="Strikers"/>
    <s v="v Hurricanes"/>
  </r>
  <r>
    <x v="15"/>
    <x v="6"/>
    <n v="17"/>
    <n v="15"/>
    <n v="5"/>
    <x v="14"/>
    <x v="13"/>
    <n v="130.06"/>
    <n v="37.200000000000003"/>
    <n v="58"/>
    <s v="v Scorchers"/>
    <x v="13"/>
    <n v="0"/>
    <n v="2"/>
    <n v="25"/>
    <n v="14"/>
    <x v="12"/>
    <n v="97"/>
    <s v="2nd"/>
    <s v="Hurricanes"/>
    <s v="v Thunder"/>
  </r>
  <r>
    <x v="16"/>
    <x v="0"/>
    <n v="9"/>
    <n v="9"/>
    <n v="1"/>
    <x v="15"/>
    <x v="14"/>
    <n v="139.08000000000001"/>
    <n v="45.37"/>
    <n v="109"/>
    <s v="v Hurricanes"/>
    <x v="4"/>
    <n v="1"/>
    <n v="3"/>
    <n v="23"/>
    <n v="16"/>
    <x v="9"/>
    <n v="96"/>
    <s v="1st"/>
    <s v="Thunder"/>
    <s v="v Hurricanes"/>
  </r>
  <r>
    <x v="17"/>
    <x v="7"/>
    <n v="15"/>
    <n v="15"/>
    <n v="1"/>
    <x v="16"/>
    <x v="15"/>
    <n v="164.09"/>
    <n v="25.78"/>
    <n v="67"/>
    <s v="v Hurricanes"/>
    <x v="6"/>
    <n v="0"/>
    <n v="4"/>
    <n v="45"/>
    <n v="12"/>
    <x v="13"/>
    <n v="95"/>
    <s v="2nd"/>
    <s v="Heat"/>
    <s v="v Hurricanes"/>
  </r>
  <r>
    <x v="18"/>
    <x v="4"/>
    <n v="9"/>
    <n v="9"/>
    <n v="1"/>
    <x v="17"/>
    <x v="16"/>
    <n v="131.25"/>
    <n v="44.62"/>
    <n v="103"/>
    <s v="v Strikers"/>
    <x v="14"/>
    <n v="1"/>
    <n v="3"/>
    <n v="28"/>
    <n v="14"/>
    <x v="14"/>
    <n v="92"/>
    <s v="4th"/>
    <s v="Renegades"/>
    <s v="v Scorchers"/>
  </r>
  <r>
    <x v="19"/>
    <x v="4"/>
    <n v="9"/>
    <n v="8"/>
    <n v="1"/>
    <x v="18"/>
    <x v="17"/>
    <n v="171.21"/>
    <n v="50.14"/>
    <n v="130"/>
    <s v="v Thunder"/>
    <x v="8"/>
    <n v="1"/>
    <n v="3"/>
    <n v="30"/>
    <n v="15"/>
    <x v="15"/>
    <n v="90"/>
    <s v="1st"/>
    <s v="Heat"/>
    <s v="v Thunder"/>
  </r>
  <r>
    <x v="20"/>
    <x v="5"/>
    <n v="14"/>
    <n v="14"/>
    <n v="2"/>
    <x v="19"/>
    <x v="9"/>
    <n v="129.85"/>
    <n v="29"/>
    <n v="65"/>
    <s v="v Heat"/>
    <x v="15"/>
    <n v="0"/>
    <n v="3"/>
    <n v="27"/>
    <n v="13"/>
    <x v="16"/>
    <n v="89"/>
    <s v="4th"/>
    <s v="Strikers"/>
    <s v="v Stars"/>
  </r>
  <r>
    <x v="21"/>
    <x v="5"/>
    <n v="15"/>
    <n v="15"/>
    <n v="1"/>
    <x v="20"/>
    <x v="18"/>
    <n v="123.28"/>
    <n v="23.07"/>
    <n v="51"/>
    <s v="v Strikers"/>
    <x v="16"/>
    <n v="0"/>
    <n v="1"/>
    <n v="24"/>
    <n v="9"/>
    <x v="17"/>
    <n v="87"/>
    <s v="4th"/>
    <s v="Renegades"/>
    <s v="v Heat"/>
  </r>
  <r>
    <x v="22"/>
    <x v="2"/>
    <n v="14"/>
    <n v="11"/>
    <n v="3"/>
    <x v="21"/>
    <x v="19"/>
    <n v="136.86000000000001"/>
    <n v="37.119999999999997"/>
    <n v="83"/>
    <s v="v Scorchers"/>
    <x v="17"/>
    <n v="0"/>
    <n v="2"/>
    <n v="29"/>
    <n v="8"/>
    <x v="18"/>
    <n v="86"/>
    <s v="2nd"/>
    <s v="Strikers"/>
    <s v="v Scorchers"/>
  </r>
  <r>
    <x v="23"/>
    <x v="4"/>
    <n v="14"/>
    <n v="13"/>
    <n v="3"/>
    <x v="22"/>
    <x v="20"/>
    <n v="112.84"/>
    <n v="29"/>
    <n v="51"/>
    <s v="v Hurricanes"/>
    <x v="18"/>
    <n v="0"/>
    <n v="2"/>
    <n v="16"/>
    <n v="7"/>
    <x v="19"/>
    <n v="86"/>
    <s v="1st"/>
    <s v="Renegades"/>
    <s v="v Stars"/>
  </r>
  <r>
    <x v="24"/>
    <x v="6"/>
    <n v="12"/>
    <n v="12"/>
    <n v="1"/>
    <x v="23"/>
    <x v="21"/>
    <n v="144.55000000000001"/>
    <n v="25.36"/>
    <n v="73"/>
    <s v="v Stars"/>
    <x v="8"/>
    <n v="0"/>
    <n v="2"/>
    <n v="28"/>
    <n v="10"/>
    <x v="20"/>
    <n v="85"/>
    <s v="3rd"/>
    <s v="Renegades"/>
    <s v="v Hurricanes"/>
  </r>
  <r>
    <x v="25"/>
    <x v="1"/>
    <n v="14"/>
    <n v="14"/>
    <n v="3"/>
    <x v="24"/>
    <x v="22"/>
    <n v="148.33000000000001"/>
    <n v="24.27"/>
    <n v="72"/>
    <s v="v Strikers"/>
    <x v="1"/>
    <n v="0"/>
    <n v="1"/>
    <n v="12"/>
    <n v="15"/>
    <x v="21"/>
    <n v="84"/>
    <s v="2nd"/>
    <s v="Heat"/>
    <s v="v Sixers"/>
  </r>
  <r>
    <x v="26"/>
    <x v="3"/>
    <n v="16"/>
    <n v="15"/>
    <n v="2"/>
    <x v="24"/>
    <x v="23"/>
    <n v="124.18"/>
    <n v="20.53"/>
    <n v="40"/>
    <s v="v Stars"/>
    <x v="2"/>
    <n v="0"/>
    <n v="0"/>
    <n v="28"/>
    <n v="4"/>
    <x v="21"/>
    <n v="84"/>
    <s v="1st"/>
    <s v="Heat"/>
    <s v="v Renegades"/>
  </r>
  <r>
    <x v="27"/>
    <x v="1"/>
    <n v="15"/>
    <n v="14"/>
    <n v="4"/>
    <x v="25"/>
    <x v="24"/>
    <n v="122.68"/>
    <n v="26.5"/>
    <n v="51"/>
    <s v="v Renegades"/>
    <x v="19"/>
    <n v="0"/>
    <n v="1"/>
    <n v="11"/>
    <n v="11"/>
    <x v="12"/>
    <n v="84"/>
    <s v="1st"/>
    <s v="Hurricanes"/>
    <s v="v Renegades"/>
  </r>
  <r>
    <x v="28"/>
    <x v="4"/>
    <n v="9"/>
    <n v="8"/>
    <n v="2"/>
    <x v="26"/>
    <x v="25"/>
    <n v="126.37"/>
    <n v="38.33"/>
    <n v="59"/>
    <s v="v Strikers"/>
    <x v="12"/>
    <n v="0"/>
    <n v="2"/>
    <n v="27"/>
    <n v="6"/>
    <x v="22"/>
    <n v="83"/>
    <s v="3rd"/>
    <s v="Thunder"/>
    <s v="v Stars"/>
  </r>
  <r>
    <x v="29"/>
    <x v="7"/>
    <n v="8"/>
    <n v="7"/>
    <n v="0"/>
    <x v="27"/>
    <x v="26"/>
    <n v="140.74"/>
    <n v="32.57"/>
    <n v="79"/>
    <s v="v Stars"/>
    <x v="20"/>
    <n v="0"/>
    <n v="1"/>
    <n v="19"/>
    <n v="10"/>
    <x v="23"/>
    <n v="81"/>
    <s v="1st"/>
    <s v="Stars"/>
    <s v="v Hurricanes"/>
  </r>
  <r>
    <x v="30"/>
    <x v="0"/>
    <n v="7"/>
    <n v="7"/>
    <n v="0"/>
    <x v="28"/>
    <x v="27"/>
    <n v="176.98"/>
    <n v="31.85"/>
    <n v="64"/>
    <s v="v Renegades"/>
    <x v="21"/>
    <n v="0"/>
    <n v="3"/>
    <n v="18"/>
    <n v="16"/>
    <x v="24"/>
    <n v="80"/>
    <s v="5th"/>
    <s v="Strikers"/>
    <s v="v Renegades"/>
  </r>
  <r>
    <x v="31"/>
    <x v="5"/>
    <n v="14"/>
    <n v="13"/>
    <n v="4"/>
    <x v="29"/>
    <x v="28"/>
    <n v="122.59"/>
    <n v="24.11"/>
    <n v="43"/>
    <s v="v Renegades"/>
    <x v="22"/>
    <n v="0"/>
    <n v="0"/>
    <n v="17"/>
    <n v="10"/>
    <x v="25"/>
    <n v="79"/>
    <s v="2nd"/>
    <s v="Strikers"/>
    <s v="v Hurricanes"/>
  </r>
  <r>
    <x v="32"/>
    <x v="2"/>
    <n v="14"/>
    <n v="12"/>
    <n v="3"/>
    <x v="30"/>
    <x v="29"/>
    <n v="131.12"/>
    <n v="22"/>
    <n v="90"/>
    <s v="v Scorchers"/>
    <x v="23"/>
    <n v="0"/>
    <n v="1"/>
    <n v="10"/>
    <n v="9"/>
    <x v="26"/>
    <n v="77"/>
    <s v="3rd"/>
    <s v="Heat"/>
    <s v="v Strikers"/>
  </r>
  <r>
    <x v="33"/>
    <x v="7"/>
    <n v="12"/>
    <n v="10"/>
    <n v="4"/>
    <x v="31"/>
    <x v="30"/>
    <n v="128.76"/>
    <n v="31.33"/>
    <n v="65"/>
    <s v="v Heat"/>
    <x v="24"/>
    <n v="0"/>
    <n v="1"/>
    <n v="14"/>
    <n v="5"/>
    <x v="27"/>
    <n v="75"/>
    <s v="4th"/>
    <s v="Scorchers"/>
    <s v="v Hurricanes"/>
  </r>
  <r>
    <x v="34"/>
    <x v="6"/>
    <n v="16"/>
    <n v="10"/>
    <n v="3"/>
    <x v="31"/>
    <x v="28"/>
    <n v="106.21"/>
    <n v="26.85"/>
    <n v="36"/>
    <s v="v Renegades"/>
    <x v="2"/>
    <n v="0"/>
    <n v="0"/>
    <n v="7"/>
    <n v="3"/>
    <x v="28"/>
    <n v="75"/>
    <s v="1st"/>
    <s v="Sixers"/>
    <s v="v Heat"/>
  </r>
  <r>
    <x v="35"/>
    <x v="5"/>
    <n v="11"/>
    <n v="10"/>
    <n v="0"/>
    <x v="32"/>
    <x v="31"/>
    <n v="110.36"/>
    <n v="18.100000000000001"/>
    <n v="31"/>
    <s v="v Renegades"/>
    <x v="22"/>
    <n v="0"/>
    <n v="0"/>
    <n v="21"/>
    <n v="1"/>
    <x v="29"/>
    <n v="74"/>
    <s v="2nd"/>
    <s v="Renegades"/>
    <s v="v Hurricanes"/>
  </r>
  <r>
    <x v="36"/>
    <x v="1"/>
    <n v="15"/>
    <n v="13"/>
    <n v="2"/>
    <x v="33"/>
    <x v="32"/>
    <n v="137.5"/>
    <n v="16"/>
    <n v="41"/>
    <s v="v Renegades"/>
    <x v="19"/>
    <n v="0"/>
    <n v="0"/>
    <n v="11"/>
    <n v="8"/>
    <x v="30"/>
    <n v="74"/>
    <s v="3rd"/>
    <s v="Hurricanes"/>
    <s v="v Renegades"/>
  </r>
  <r>
    <x v="37"/>
    <x v="7"/>
    <n v="14"/>
    <n v="9"/>
    <n v="1"/>
    <x v="34"/>
    <x v="33"/>
    <n v="149.13"/>
    <n v="21.62"/>
    <n v="43"/>
    <s v="v Hurricanes"/>
    <x v="1"/>
    <n v="0"/>
    <n v="0"/>
    <n v="15"/>
    <n v="8"/>
    <x v="31"/>
    <n v="73"/>
    <s v="4th"/>
    <s v="Sixers"/>
    <s v="v Renegades"/>
  </r>
  <r>
    <x v="38"/>
    <x v="0"/>
    <n v="6"/>
    <n v="6"/>
    <n v="3"/>
    <x v="35"/>
    <x v="34"/>
    <n v="160"/>
    <n v="53.33"/>
    <n v="63"/>
    <s v="v Strikers"/>
    <x v="25"/>
    <n v="0"/>
    <n v="1"/>
    <n v="11"/>
    <n v="7"/>
    <x v="32"/>
    <n v="73"/>
    <s v="1st"/>
    <s v="Sixers"/>
    <s v="v Scorchers"/>
  </r>
  <r>
    <x v="39"/>
    <x v="0"/>
    <n v="5"/>
    <n v="4"/>
    <n v="1"/>
    <x v="36"/>
    <x v="35"/>
    <n v="125.21"/>
    <n v="49.66"/>
    <n v="70"/>
    <s v="v Thunder"/>
    <x v="26"/>
    <n v="0"/>
    <n v="2"/>
    <n v="11"/>
    <n v="5"/>
    <x v="33"/>
    <n v="73"/>
    <s v="2nd"/>
    <s v="Thunder"/>
    <s v="v Strikers"/>
  </r>
  <r>
    <x v="40"/>
    <x v="3"/>
    <n v="6"/>
    <n v="6"/>
    <n v="0"/>
    <x v="37"/>
    <x v="36"/>
    <n v="140.38"/>
    <n v="24.33"/>
    <n v="71"/>
    <s v="v Hurricanes"/>
    <x v="7"/>
    <n v="0"/>
    <n v="1"/>
    <n v="8"/>
    <n v="6"/>
    <x v="17"/>
    <n v="73"/>
    <s v="4th"/>
    <s v="Renegades"/>
    <s v="v Sixers"/>
  </r>
  <r>
    <x v="41"/>
    <x v="3"/>
    <n v="10"/>
    <n v="10"/>
    <n v="0"/>
    <x v="38"/>
    <x v="37"/>
    <n v="143.56"/>
    <n v="14.5"/>
    <n v="65"/>
    <s v="v Renegades"/>
    <x v="27"/>
    <n v="0"/>
    <n v="1"/>
    <n v="19"/>
    <n v="5"/>
    <x v="34"/>
    <n v="72"/>
    <s v="1st"/>
    <s v="Sixers"/>
    <s v="v Strikers"/>
  </r>
  <r>
    <x v="42"/>
    <x v="3"/>
    <n v="14"/>
    <n v="14"/>
    <n v="0"/>
    <x v="39"/>
    <x v="38"/>
    <n v="88.81"/>
    <n v="10.210000000000001"/>
    <n v="40"/>
    <s v="v Stars"/>
    <x v="11"/>
    <n v="0"/>
    <n v="0"/>
    <n v="17"/>
    <n v="2"/>
    <x v="24"/>
    <n v="71"/>
    <s v="5th"/>
    <s v="Strikers"/>
    <s v="v Stars"/>
  </r>
  <r>
    <x v="43"/>
    <x v="1"/>
    <n v="8"/>
    <n v="8"/>
    <n v="0"/>
    <x v="40"/>
    <x v="36"/>
    <n v="127.88"/>
    <n v="16.62"/>
    <n v="56"/>
    <s v="v Thunder"/>
    <x v="14"/>
    <n v="0"/>
    <n v="1"/>
    <n v="16"/>
    <n v="2"/>
    <x v="35"/>
    <n v="71"/>
    <s v="3rd"/>
    <s v="Strikers"/>
    <s v="v Scorchers"/>
  </r>
  <r>
    <x v="44"/>
    <x v="2"/>
    <n v="14"/>
    <n v="10"/>
    <n v="3"/>
    <x v="40"/>
    <x v="39"/>
    <n v="149.43"/>
    <n v="19"/>
    <n v="43"/>
    <s v="v Heat"/>
    <x v="27"/>
    <n v="0"/>
    <n v="0"/>
    <n v="13"/>
    <n v="4"/>
    <x v="36"/>
    <n v="71"/>
    <s v="4th"/>
    <s v="Renegades"/>
    <s v="v Scorchers"/>
  </r>
  <r>
    <x v="45"/>
    <x v="5"/>
    <n v="14"/>
    <n v="14"/>
    <n v="4"/>
    <x v="41"/>
    <x v="37"/>
    <n v="126.73"/>
    <n v="12.8"/>
    <n v="32"/>
    <s v="v Strikers"/>
    <x v="16"/>
    <n v="0"/>
    <n v="0"/>
    <n v="8"/>
    <n v="5"/>
    <x v="37"/>
    <n v="71"/>
    <s v="1st"/>
    <s v="Strikers"/>
    <s v="v Scorchers"/>
  </r>
  <r>
    <x v="46"/>
    <x v="2"/>
    <n v="15"/>
    <n v="12"/>
    <n v="4"/>
    <x v="42"/>
    <x v="40"/>
    <n v="153.08000000000001"/>
    <n v="15.5"/>
    <n v="40"/>
    <s v="v Stars"/>
    <x v="9"/>
    <n v="0"/>
    <n v="0"/>
    <n v="10"/>
    <n v="8"/>
    <x v="32"/>
    <n v="70"/>
    <s v="1st"/>
    <s v="Sixers"/>
    <s v="v Renegades"/>
  </r>
  <r>
    <x v="47"/>
    <x v="2"/>
    <n v="4"/>
    <n v="4"/>
    <n v="1"/>
    <x v="43"/>
    <x v="41"/>
    <n v="151.88999999999999"/>
    <n v="40"/>
    <n v="66"/>
    <s v="v Hurricanes"/>
    <x v="19"/>
    <n v="0"/>
    <n v="1"/>
    <n v="12"/>
    <n v="3"/>
    <x v="38"/>
    <n v="70"/>
    <s v="5th"/>
    <s v="Heat"/>
    <s v="v Stars"/>
  </r>
  <r>
    <x v="48"/>
    <x v="5"/>
    <n v="9"/>
    <n v="9"/>
    <n v="0"/>
    <x v="44"/>
    <x v="42"/>
    <n v="105.3"/>
    <n v="13.22"/>
    <n v="42"/>
    <s v="v Hurricanes"/>
    <x v="14"/>
    <n v="0"/>
    <n v="0"/>
    <n v="9"/>
    <n v="4"/>
    <x v="30"/>
    <n v="69"/>
    <s v="3rd"/>
    <s v="Hurricanes"/>
    <s v="v Scorchers"/>
  </r>
  <r>
    <x v="49"/>
    <x v="0"/>
    <n v="15"/>
    <n v="13"/>
    <n v="4"/>
    <x v="45"/>
    <x v="43"/>
    <n v="147.36000000000001"/>
    <n v="12.44"/>
    <n v="21"/>
    <s v="v Sixers"/>
    <x v="8"/>
    <n v="0"/>
    <n v="0"/>
    <n v="9"/>
    <n v="4"/>
    <x v="39"/>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s v="Stars"/>
    <n v="17"/>
    <n v="17"/>
    <n v="4"/>
    <n v="705"/>
    <n v="516"/>
    <n v="136.62"/>
    <n v="54.23"/>
    <n v="985.85"/>
    <n v="1"/>
    <n v="147"/>
    <x v="0"/>
    <x v="0"/>
    <x v="0"/>
    <n v="6"/>
    <n v="62"/>
    <n v="28"/>
    <n v="90"/>
    <n v="416"/>
    <n v="59"/>
    <x v="0"/>
    <n v="207"/>
    <x v="0"/>
  </r>
  <r>
    <x v="1"/>
    <s v="Hurricanes"/>
    <n v="17"/>
    <n v="17"/>
    <n v="2"/>
    <n v="576"/>
    <n v="392"/>
    <n v="146.93"/>
    <n v="38.4"/>
    <n v="843.32999999999993"/>
    <n v="2"/>
    <n v="85"/>
    <x v="1"/>
    <x v="1"/>
    <x v="1"/>
    <n v="6"/>
    <n v="59"/>
    <n v="23"/>
    <n v="82"/>
    <n v="374"/>
    <n v="64.930000000000007"/>
    <x v="1"/>
    <n v="203"/>
    <x v="0"/>
  </r>
  <r>
    <x v="2"/>
    <s v="Hurricanes"/>
    <n v="15"/>
    <n v="14"/>
    <n v="7"/>
    <n v="478"/>
    <n v="353"/>
    <n v="135.41"/>
    <n v="68.28"/>
    <n v="738.68999999999994"/>
    <n v="3"/>
    <n v="68"/>
    <x v="2"/>
    <x v="2"/>
    <x v="1"/>
    <n v="4"/>
    <n v="38"/>
    <n v="9"/>
    <n v="47"/>
    <n v="206"/>
    <n v="43.09"/>
    <x v="2"/>
    <n v="124"/>
    <x v="1"/>
  </r>
  <r>
    <x v="3"/>
    <s v="Renegades"/>
    <n v="16"/>
    <n v="16"/>
    <n v="3"/>
    <n v="487"/>
    <n v="375"/>
    <n v="129.86000000000001"/>
    <n v="37.46"/>
    <n v="701.32"/>
    <n v="4"/>
    <n v="83"/>
    <x v="0"/>
    <x v="3"/>
    <x v="1"/>
    <n v="5"/>
    <n v="41"/>
    <n v="16"/>
    <n v="57"/>
    <n v="260"/>
    <n v="53.38"/>
    <x v="3"/>
    <n v="136"/>
    <x v="0"/>
  </r>
  <r>
    <x v="4"/>
    <s v="Heat"/>
    <n v="12"/>
    <n v="12"/>
    <n v="0"/>
    <n v="449"/>
    <n v="362"/>
    <n v="124.03"/>
    <n v="37.409999999999997"/>
    <n v="664.43999999999994"/>
    <n v="5"/>
    <n v="63"/>
    <x v="0"/>
    <x v="4"/>
    <x v="1"/>
    <n v="3"/>
    <n v="40"/>
    <n v="14"/>
    <n v="54"/>
    <n v="244"/>
    <n v="54.34"/>
    <x v="3"/>
    <n v="124"/>
    <x v="0"/>
  </r>
  <r>
    <x v="5"/>
    <s v="Scorchers"/>
    <n v="14"/>
    <n v="14"/>
    <n v="0"/>
    <n v="425"/>
    <n v="298"/>
    <n v="142.61000000000001"/>
    <n v="30.35"/>
    <n v="650.96"/>
    <n v="6"/>
    <n v="79"/>
    <x v="3"/>
    <x v="5"/>
    <x v="1"/>
    <n v="4"/>
    <n v="26"/>
    <n v="27"/>
    <n v="53"/>
    <n v="266"/>
    <n v="62.58"/>
    <x v="4"/>
    <n v="123"/>
    <x v="2"/>
  </r>
  <r>
    <x v="6"/>
    <s v="Thunder"/>
    <n v="14"/>
    <n v="14"/>
    <n v="0"/>
    <n v="405"/>
    <n v="263"/>
    <n v="153.99"/>
    <n v="28.92"/>
    <n v="635.91000000000008"/>
    <n v="7"/>
    <n v="73"/>
    <x v="2"/>
    <x v="6"/>
    <x v="1"/>
    <n v="4"/>
    <n v="41"/>
    <n v="15"/>
    <n v="56"/>
    <n v="254"/>
    <n v="62.71"/>
    <x v="5"/>
    <n v="114"/>
    <x v="3"/>
  </r>
  <r>
    <x v="7"/>
    <s v="Hurricanes"/>
    <n v="14"/>
    <n v="14"/>
    <n v="4"/>
    <n v="425"/>
    <n v="322"/>
    <n v="131.97999999999999"/>
    <n v="42.5"/>
    <n v="655.48"/>
    <n v="8"/>
    <n v="67"/>
    <x v="1"/>
    <x v="7"/>
    <x v="1"/>
    <n v="3"/>
    <n v="26"/>
    <n v="17"/>
    <n v="43"/>
    <n v="206"/>
    <n v="48.47"/>
    <x v="4"/>
    <n v="117"/>
    <x v="2"/>
  </r>
  <r>
    <x v="8"/>
    <s v="Sixers"/>
    <n v="17"/>
    <n v="16"/>
    <n v="6"/>
    <n v="398"/>
    <n v="268"/>
    <n v="148.5"/>
    <n v="39.799999999999997"/>
    <n v="646.29999999999995"/>
    <n v="9"/>
    <n v="83"/>
    <x v="1"/>
    <x v="2"/>
    <x v="1"/>
    <n v="3"/>
    <n v="28"/>
    <n v="20"/>
    <n v="48"/>
    <n v="232"/>
    <n v="58.29"/>
    <x v="6"/>
    <n v="109"/>
    <x v="3"/>
  </r>
  <r>
    <x v="9"/>
    <s v="Heat"/>
    <n v="15"/>
    <n v="15"/>
    <n v="1"/>
    <n v="407"/>
    <n v="304"/>
    <n v="133.88"/>
    <n v="29.07"/>
    <n v="612.95000000000005"/>
    <n v="10"/>
    <n v="83"/>
    <x v="4"/>
    <x v="8"/>
    <x v="1"/>
    <n v="2"/>
    <n v="47"/>
    <n v="13"/>
    <n v="60"/>
    <n v="266"/>
    <n v="65.349999999999994"/>
    <x v="7"/>
    <n v="115"/>
    <x v="1"/>
  </r>
  <r>
    <x v="10"/>
    <s v="Stars"/>
    <n v="14"/>
    <n v="14"/>
    <n v="1"/>
    <n v="387"/>
    <n v="260"/>
    <n v="148.84"/>
    <n v="29.76"/>
    <n v="622.6"/>
    <n v="11"/>
    <n v="94"/>
    <x v="3"/>
    <x v="9"/>
    <x v="1"/>
    <n v="2"/>
    <n v="36"/>
    <n v="23"/>
    <n v="59"/>
    <n v="282"/>
    <n v="72.86"/>
    <x v="3"/>
    <n v="102"/>
    <x v="0"/>
  </r>
  <r>
    <x v="11"/>
    <s v="Scorchers"/>
    <n v="9"/>
    <n v="8"/>
    <n v="1"/>
    <n v="351"/>
    <n v="205"/>
    <n v="171.21"/>
    <n v="50.14"/>
    <n v="615.35"/>
    <n v="12"/>
    <n v="130"/>
    <x v="5"/>
    <x v="6"/>
    <x v="0"/>
    <n v="3"/>
    <n v="30"/>
    <n v="15"/>
    <n v="45"/>
    <n v="210"/>
    <n v="59.82"/>
    <x v="8"/>
    <n v="90"/>
    <x v="0"/>
  </r>
  <r>
    <x v="12"/>
    <s v="Strikers"/>
    <n v="15"/>
    <n v="15"/>
    <n v="1"/>
    <n v="361"/>
    <n v="220"/>
    <n v="164.09"/>
    <n v="25.78"/>
    <n v="589.87"/>
    <n v="13"/>
    <n v="67"/>
    <x v="4"/>
    <x v="7"/>
    <x v="1"/>
    <n v="4"/>
    <n v="45"/>
    <n v="12"/>
    <n v="57"/>
    <n v="252"/>
    <n v="69.8"/>
    <x v="9"/>
    <n v="95"/>
    <x v="2"/>
  </r>
  <r>
    <x v="13"/>
    <s v="Strikers"/>
    <n v="14"/>
    <n v="14"/>
    <n v="3"/>
    <n v="382"/>
    <n v="263"/>
    <n v="145.24"/>
    <n v="34.72"/>
    <n v="600.96"/>
    <n v="14"/>
    <n v="93"/>
    <x v="2"/>
    <x v="10"/>
    <x v="1"/>
    <n v="2"/>
    <n v="19"/>
    <n v="20"/>
    <n v="39"/>
    <n v="196"/>
    <n v="51.3"/>
    <x v="10"/>
    <n v="99"/>
    <x v="0"/>
  </r>
  <r>
    <x v="14"/>
    <s v="Stars"/>
    <n v="11"/>
    <n v="11"/>
    <n v="0"/>
    <n v="391"/>
    <n v="312"/>
    <n v="125.32"/>
    <n v="35.54"/>
    <n v="610.86"/>
    <n v="15"/>
    <n v="55"/>
    <x v="6"/>
    <x v="11"/>
    <x v="1"/>
    <n v="1"/>
    <n v="30"/>
    <n v="13"/>
    <n v="43"/>
    <n v="198"/>
    <n v="50.63"/>
    <x v="11"/>
    <n v="104"/>
    <x v="0"/>
  </r>
  <r>
    <x v="15"/>
    <s v="Stars"/>
    <n v="9"/>
    <n v="9"/>
    <n v="1"/>
    <n v="363"/>
    <n v="261"/>
    <n v="139.08000000000001"/>
    <n v="45.37"/>
    <n v="594.45000000000005"/>
    <n v="16"/>
    <n v="109"/>
    <x v="4"/>
    <x v="4"/>
    <x v="0"/>
    <n v="3"/>
    <n v="23"/>
    <n v="16"/>
    <n v="39"/>
    <n v="188"/>
    <n v="51.79"/>
    <x v="12"/>
    <n v="96"/>
    <x v="0"/>
  </r>
  <r>
    <x v="16"/>
    <s v="Stars"/>
    <n v="17"/>
    <n v="17"/>
    <n v="0"/>
    <n v="388"/>
    <n v="312"/>
    <n v="124.35"/>
    <n v="22.82"/>
    <n v="580.16999999999996"/>
    <n v="17"/>
    <n v="66"/>
    <x v="5"/>
    <x v="12"/>
    <x v="1"/>
    <n v="3"/>
    <n v="42"/>
    <n v="5"/>
    <n v="47"/>
    <n v="198"/>
    <n v="51.03"/>
    <x v="12"/>
    <n v="103"/>
    <x v="0"/>
  </r>
  <r>
    <x v="17"/>
    <s v="Sixers"/>
    <n v="17"/>
    <n v="15"/>
    <n v="5"/>
    <n v="372"/>
    <n v="286"/>
    <n v="130.06"/>
    <n v="37.200000000000003"/>
    <n v="578.26"/>
    <n v="18"/>
    <n v="58"/>
    <x v="2"/>
    <x v="13"/>
    <x v="1"/>
    <n v="2"/>
    <n v="25"/>
    <n v="14"/>
    <n v="39"/>
    <n v="184"/>
    <n v="49.46"/>
    <x v="13"/>
    <n v="97"/>
    <x v="2"/>
  </r>
  <r>
    <x v="18"/>
    <s v="Scorchers"/>
    <n v="9"/>
    <n v="9"/>
    <n v="1"/>
    <n v="357"/>
    <n v="272"/>
    <n v="131.25"/>
    <n v="44.62"/>
    <n v="574.87"/>
    <n v="19"/>
    <n v="103"/>
    <x v="1"/>
    <x v="14"/>
    <x v="0"/>
    <n v="3"/>
    <n v="28"/>
    <n v="14"/>
    <n v="42"/>
    <n v="196"/>
    <n v="54.9"/>
    <x v="14"/>
    <n v="92"/>
    <x v="1"/>
  </r>
  <r>
    <x v="19"/>
    <s v="Stars"/>
    <n v="17"/>
    <n v="17"/>
    <n v="4"/>
    <n v="376"/>
    <n v="297"/>
    <n v="126.59"/>
    <n v="28.92"/>
    <n v="574.51"/>
    <n v="20"/>
    <n v="73"/>
    <x v="5"/>
    <x v="12"/>
    <x v="1"/>
    <n v="3"/>
    <n v="35"/>
    <n v="8"/>
    <n v="43"/>
    <n v="188"/>
    <n v="50"/>
    <x v="15"/>
    <n v="97"/>
    <x v="3"/>
  </r>
  <r>
    <x v="20"/>
    <s v="Thunder"/>
    <n v="14"/>
    <n v="14"/>
    <n v="2"/>
    <n v="348"/>
    <n v="268"/>
    <n v="129.85"/>
    <n v="29"/>
    <n v="546.85"/>
    <n v="21"/>
    <n v="65"/>
    <x v="3"/>
    <x v="15"/>
    <x v="1"/>
    <n v="3"/>
    <n v="27"/>
    <n v="13"/>
    <n v="40"/>
    <n v="186"/>
    <n v="53.44"/>
    <x v="16"/>
    <n v="89"/>
    <x v="1"/>
  </r>
  <r>
    <x v="21"/>
    <s v="Renegades"/>
    <n v="14"/>
    <n v="11"/>
    <n v="3"/>
    <n v="297"/>
    <n v="217"/>
    <n v="136.86000000000001"/>
    <n v="37.119999999999997"/>
    <n v="503.98"/>
    <n v="22"/>
    <n v="83"/>
    <x v="2"/>
    <x v="16"/>
    <x v="1"/>
    <n v="2"/>
    <n v="29"/>
    <n v="8"/>
    <n v="37"/>
    <n v="164"/>
    <n v="55.21"/>
    <x v="17"/>
    <n v="86"/>
    <x v="2"/>
  </r>
  <r>
    <x v="22"/>
    <s v="Thunder"/>
    <n v="15"/>
    <n v="15"/>
    <n v="1"/>
    <n v="323"/>
    <n v="262"/>
    <n v="123.28"/>
    <n v="23.07"/>
    <n v="506.35"/>
    <n v="23"/>
    <n v="51"/>
    <x v="1"/>
    <x v="17"/>
    <x v="1"/>
    <n v="1"/>
    <n v="24"/>
    <n v="9"/>
    <n v="33"/>
    <n v="150"/>
    <n v="46.43"/>
    <x v="18"/>
    <n v="87"/>
    <x v="1"/>
  </r>
  <r>
    <x v="23"/>
    <s v="Sixers"/>
    <n v="12"/>
    <n v="12"/>
    <n v="1"/>
    <n v="279"/>
    <n v="193"/>
    <n v="144.55000000000001"/>
    <n v="25.36"/>
    <n v="475.91"/>
    <n v="24"/>
    <n v="73"/>
    <x v="7"/>
    <x v="6"/>
    <x v="1"/>
    <n v="2"/>
    <n v="28"/>
    <n v="10"/>
    <n v="38"/>
    <n v="172"/>
    <n v="61.64"/>
    <x v="19"/>
    <n v="85"/>
    <x v="3"/>
  </r>
  <r>
    <x v="24"/>
    <s v="Hurricanes"/>
    <n v="14"/>
    <n v="14"/>
    <n v="3"/>
    <n v="267"/>
    <n v="180"/>
    <n v="148.33000000000001"/>
    <n v="24.27"/>
    <n v="473.6"/>
    <n v="25"/>
    <n v="72"/>
    <x v="1"/>
    <x v="1"/>
    <x v="1"/>
    <n v="1"/>
    <n v="12"/>
    <n v="15"/>
    <n v="27"/>
    <n v="138"/>
    <n v="51.68"/>
    <x v="20"/>
    <n v="84"/>
    <x v="2"/>
  </r>
  <r>
    <x v="25"/>
    <s v="Stars"/>
    <n v="7"/>
    <n v="7"/>
    <n v="0"/>
    <n v="223"/>
    <n v="126"/>
    <n v="176.98"/>
    <n v="31.85"/>
    <n v="464.83"/>
    <n v="26"/>
    <n v="64"/>
    <x v="6"/>
    <x v="18"/>
    <x v="1"/>
    <n v="3"/>
    <n v="18"/>
    <n v="16"/>
    <n v="34"/>
    <n v="168"/>
    <n v="75.33"/>
    <x v="21"/>
    <n v="80"/>
    <x v="4"/>
  </r>
  <r>
    <x v="26"/>
    <s v="Scorchers"/>
    <n v="14"/>
    <n v="13"/>
    <n v="3"/>
    <n v="290"/>
    <n v="257"/>
    <n v="112.84"/>
    <n v="29"/>
    <n v="469.84000000000003"/>
    <n v="27"/>
    <n v="51"/>
    <x v="4"/>
    <x v="19"/>
    <x v="1"/>
    <n v="2"/>
    <n v="16"/>
    <n v="7"/>
    <n v="23"/>
    <n v="106"/>
    <n v="36.549999999999997"/>
    <x v="22"/>
    <n v="86"/>
    <x v="0"/>
  </r>
  <r>
    <x v="27"/>
    <s v="Heat"/>
    <n v="16"/>
    <n v="15"/>
    <n v="2"/>
    <n v="267"/>
    <n v="215"/>
    <n v="124.18"/>
    <n v="20.53"/>
    <n v="434.71"/>
    <n v="28"/>
    <n v="40"/>
    <x v="7"/>
    <x v="3"/>
    <x v="1"/>
    <n v="0"/>
    <n v="28"/>
    <n v="4"/>
    <n v="32"/>
    <n v="136"/>
    <n v="50.93"/>
    <x v="20"/>
    <n v="84"/>
    <x v="0"/>
  </r>
  <r>
    <x v="28"/>
    <s v="Hurricanes"/>
    <n v="15"/>
    <n v="14"/>
    <n v="4"/>
    <n v="265"/>
    <n v="216"/>
    <n v="122.68"/>
    <n v="26.5"/>
    <n v="446.18"/>
    <n v="29"/>
    <n v="51"/>
    <x v="6"/>
    <x v="20"/>
    <x v="1"/>
    <n v="1"/>
    <n v="11"/>
    <n v="11"/>
    <n v="22"/>
    <n v="110"/>
    <n v="41.5"/>
    <x v="13"/>
    <n v="84"/>
    <x v="0"/>
  </r>
  <r>
    <x v="29"/>
    <s v="Strikers"/>
    <n v="8"/>
    <n v="7"/>
    <n v="0"/>
    <n v="228"/>
    <n v="162"/>
    <n v="140.74"/>
    <n v="32.57"/>
    <n v="430.31"/>
    <n v="30"/>
    <n v="79"/>
    <x v="7"/>
    <x v="21"/>
    <x v="1"/>
    <n v="1"/>
    <n v="19"/>
    <n v="10"/>
    <n v="29"/>
    <n v="136"/>
    <n v="59.64"/>
    <x v="23"/>
    <n v="81"/>
    <x v="0"/>
  </r>
  <r>
    <x v="30"/>
    <s v="Scorchers"/>
    <n v="9"/>
    <n v="8"/>
    <n v="2"/>
    <n v="230"/>
    <n v="182"/>
    <n v="126.37"/>
    <n v="38.33"/>
    <n v="416.7"/>
    <n v="31"/>
    <n v="59"/>
    <x v="1"/>
    <x v="10"/>
    <x v="1"/>
    <n v="2"/>
    <n v="27"/>
    <n v="6"/>
    <n v="33"/>
    <n v="144"/>
    <n v="62.6"/>
    <x v="24"/>
    <n v="83"/>
    <x v="3"/>
  </r>
  <r>
    <x v="31"/>
    <s v="Stars"/>
    <n v="6"/>
    <n v="6"/>
    <n v="3"/>
    <n v="160"/>
    <n v="100"/>
    <n v="160"/>
    <n v="53.33"/>
    <n v="395.33"/>
    <n v="32"/>
    <n v="63"/>
    <x v="1"/>
    <x v="22"/>
    <x v="1"/>
    <n v="1"/>
    <n v="11"/>
    <n v="7"/>
    <n v="18"/>
    <n v="86"/>
    <n v="53.75"/>
    <x v="25"/>
    <n v="73"/>
    <x v="0"/>
  </r>
  <r>
    <x v="32"/>
    <s v="Thunder"/>
    <n v="14"/>
    <n v="13"/>
    <n v="4"/>
    <n v="217"/>
    <n v="177"/>
    <n v="122.59"/>
    <n v="24.11"/>
    <n v="381.70000000000005"/>
    <n v="33"/>
    <n v="43"/>
    <x v="6"/>
    <x v="23"/>
    <x v="1"/>
    <n v="0"/>
    <n v="17"/>
    <n v="10"/>
    <n v="27"/>
    <n v="128"/>
    <n v="58.98"/>
    <x v="26"/>
    <n v="79"/>
    <x v="2"/>
  </r>
  <r>
    <x v="33"/>
    <s v="Renegades"/>
    <n v="14"/>
    <n v="12"/>
    <n v="3"/>
    <n v="198"/>
    <n v="151"/>
    <n v="131.12"/>
    <n v="22"/>
    <n v="378.12"/>
    <n v="34"/>
    <n v="90"/>
    <x v="2"/>
    <x v="24"/>
    <x v="1"/>
    <n v="1"/>
    <n v="10"/>
    <n v="9"/>
    <n v="19"/>
    <n v="94"/>
    <n v="47.47"/>
    <x v="27"/>
    <n v="77"/>
    <x v="3"/>
  </r>
  <r>
    <x v="34"/>
    <s v="Strikers"/>
    <n v="12"/>
    <n v="10"/>
    <n v="4"/>
    <n v="188"/>
    <n v="146"/>
    <n v="128.76"/>
    <n v="31.33"/>
    <n v="367.09"/>
    <n v="35"/>
    <n v="65"/>
    <x v="3"/>
    <x v="25"/>
    <x v="1"/>
    <n v="1"/>
    <n v="14"/>
    <n v="5"/>
    <n v="19"/>
    <n v="86"/>
    <n v="45.74"/>
    <x v="28"/>
    <n v="75"/>
    <x v="1"/>
  </r>
  <r>
    <x v="35"/>
    <s v="Strikers"/>
    <n v="14"/>
    <n v="9"/>
    <n v="1"/>
    <n v="173"/>
    <n v="116"/>
    <n v="149.13"/>
    <n v="21.62"/>
    <n v="359.75"/>
    <n v="36"/>
    <n v="43"/>
    <x v="4"/>
    <x v="1"/>
    <x v="1"/>
    <n v="0"/>
    <n v="15"/>
    <n v="8"/>
    <n v="23"/>
    <n v="108"/>
    <n v="62.42"/>
    <x v="29"/>
    <n v="73"/>
    <x v="1"/>
  </r>
  <r>
    <x v="36"/>
    <s v="Hurricanes"/>
    <n v="15"/>
    <n v="13"/>
    <n v="2"/>
    <n v="176"/>
    <n v="128"/>
    <n v="137.5"/>
    <n v="16"/>
    <n v="348.5"/>
    <n v="37"/>
    <n v="41"/>
    <x v="6"/>
    <x v="20"/>
    <x v="1"/>
    <n v="0"/>
    <n v="11"/>
    <n v="8"/>
    <n v="19"/>
    <n v="92"/>
    <n v="52.27"/>
    <x v="30"/>
    <n v="74"/>
    <x v="3"/>
  </r>
  <r>
    <x v="37"/>
    <s v="Stars"/>
    <n v="5"/>
    <n v="4"/>
    <n v="1"/>
    <n v="149"/>
    <n v="119"/>
    <n v="125.21"/>
    <n v="49.66"/>
    <n v="333.87"/>
    <n v="38"/>
    <n v="70"/>
    <x v="5"/>
    <x v="26"/>
    <x v="1"/>
    <n v="2"/>
    <n v="11"/>
    <n v="5"/>
    <n v="16"/>
    <n v="74"/>
    <n v="49.66"/>
    <x v="31"/>
    <n v="73"/>
    <x v="2"/>
  </r>
  <r>
    <x v="38"/>
    <s v="Thunder"/>
    <n v="11"/>
    <n v="10"/>
    <n v="0"/>
    <n v="181"/>
    <n v="164"/>
    <n v="110.36"/>
    <n v="18.100000000000001"/>
    <n v="332.46"/>
    <n v="39"/>
    <n v="31"/>
    <x v="6"/>
    <x v="23"/>
    <x v="1"/>
    <n v="0"/>
    <n v="21"/>
    <n v="1"/>
    <n v="22"/>
    <n v="90"/>
    <n v="49.72"/>
    <x v="32"/>
    <n v="74"/>
    <x v="2"/>
  </r>
  <r>
    <x v="39"/>
    <s v="Sixers"/>
    <n v="16"/>
    <n v="10"/>
    <n v="3"/>
    <n v="188"/>
    <n v="177"/>
    <n v="106.21"/>
    <n v="26.85"/>
    <n v="340.06"/>
    <n v="40"/>
    <n v="36"/>
    <x v="6"/>
    <x v="3"/>
    <x v="1"/>
    <n v="0"/>
    <n v="7"/>
    <n v="3"/>
    <n v="10"/>
    <n v="46"/>
    <n v="24.46"/>
    <x v="33"/>
    <n v="75"/>
    <x v="0"/>
  </r>
  <r>
    <x v="40"/>
    <s v="Heat"/>
    <n v="10"/>
    <n v="10"/>
    <n v="0"/>
    <n v="145"/>
    <n v="101"/>
    <n v="143.56"/>
    <n v="14.5"/>
    <n v="318.06"/>
    <n v="41"/>
    <n v="65"/>
    <x v="6"/>
    <x v="27"/>
    <x v="1"/>
    <n v="1"/>
    <n v="19"/>
    <n v="5"/>
    <n v="24"/>
    <n v="106"/>
    <n v="73.099999999999994"/>
    <x v="34"/>
    <n v="72"/>
    <x v="0"/>
  </r>
  <r>
    <x v="41"/>
    <s v="Renegades"/>
    <n v="4"/>
    <n v="4"/>
    <n v="1"/>
    <n v="120"/>
    <n v="79"/>
    <n v="151.88999999999999"/>
    <n v="40"/>
    <n v="324.89"/>
    <n v="42"/>
    <n v="66"/>
    <x v="4"/>
    <x v="20"/>
    <x v="1"/>
    <n v="1"/>
    <n v="12"/>
    <n v="3"/>
    <n v="15"/>
    <n v="66"/>
    <n v="55"/>
    <x v="35"/>
    <n v="70"/>
    <x v="4"/>
  </r>
  <r>
    <x v="42"/>
    <s v="Heat"/>
    <n v="6"/>
    <n v="6"/>
    <n v="0"/>
    <n v="146"/>
    <n v="104"/>
    <n v="140.38"/>
    <n v="24.33"/>
    <n v="334.71"/>
    <n v="43"/>
    <n v="71"/>
    <x v="4"/>
    <x v="8"/>
    <x v="1"/>
    <n v="1"/>
    <n v="8"/>
    <n v="6"/>
    <n v="14"/>
    <n v="68"/>
    <n v="46.57"/>
    <x v="18"/>
    <n v="73"/>
    <x v="1"/>
  </r>
  <r>
    <x v="43"/>
    <s v="Renegades"/>
    <n v="14"/>
    <n v="10"/>
    <n v="3"/>
    <n v="133"/>
    <n v="89"/>
    <n v="149.43"/>
    <n v="19"/>
    <n v="319.43"/>
    <n v="44"/>
    <n v="43"/>
    <x v="3"/>
    <x v="27"/>
    <x v="1"/>
    <n v="0"/>
    <n v="13"/>
    <n v="4"/>
    <n v="17"/>
    <n v="76"/>
    <n v="57.14"/>
    <x v="36"/>
    <n v="71"/>
    <x v="1"/>
  </r>
  <r>
    <x v="44"/>
    <s v="Renegades"/>
    <n v="15"/>
    <n v="12"/>
    <n v="4"/>
    <n v="124"/>
    <n v="81"/>
    <n v="153.08000000000001"/>
    <n v="15.5"/>
    <n v="305.58000000000004"/>
    <n v="45"/>
    <n v="40"/>
    <x v="7"/>
    <x v="11"/>
    <x v="1"/>
    <n v="0"/>
    <n v="10"/>
    <n v="8"/>
    <n v="18"/>
    <n v="88"/>
    <n v="70.959999999999994"/>
    <x v="25"/>
    <n v="70"/>
    <x v="0"/>
  </r>
  <r>
    <x v="45"/>
    <s v="Hurricanes"/>
    <n v="8"/>
    <n v="8"/>
    <n v="0"/>
    <n v="133"/>
    <n v="104"/>
    <n v="127.88"/>
    <n v="16.62"/>
    <n v="294.5"/>
    <n v="46"/>
    <n v="56"/>
    <x v="5"/>
    <x v="14"/>
    <x v="1"/>
    <n v="1"/>
    <n v="16"/>
    <n v="2"/>
    <n v="18"/>
    <n v="76"/>
    <n v="57.14"/>
    <x v="37"/>
    <n v="71"/>
    <x v="3"/>
  </r>
  <r>
    <x v="46"/>
    <s v="Stars"/>
    <n v="15"/>
    <n v="13"/>
    <n v="4"/>
    <n v="112"/>
    <n v="76"/>
    <n v="147.36000000000001"/>
    <n v="12.44"/>
    <n v="284.8"/>
    <n v="47"/>
    <n v="21"/>
    <x v="0"/>
    <x v="6"/>
    <x v="1"/>
    <n v="0"/>
    <n v="9"/>
    <n v="4"/>
    <n v="13"/>
    <n v="60"/>
    <n v="53.57"/>
    <x v="38"/>
    <m/>
    <x v="5"/>
  </r>
  <r>
    <x v="47"/>
    <s v="Thunder"/>
    <n v="14"/>
    <n v="14"/>
    <n v="4"/>
    <n v="128"/>
    <n v="101"/>
    <n v="126.73"/>
    <n v="12.8"/>
    <n v="285.53000000000003"/>
    <n v="48"/>
    <n v="32"/>
    <x v="1"/>
    <x v="17"/>
    <x v="1"/>
    <n v="0"/>
    <n v="8"/>
    <n v="5"/>
    <n v="13"/>
    <n v="62"/>
    <n v="48.43"/>
    <x v="39"/>
    <n v="71"/>
    <x v="0"/>
  </r>
  <r>
    <x v="48"/>
    <s v="Heat"/>
    <n v="14"/>
    <n v="14"/>
    <n v="0"/>
    <n v="143"/>
    <n v="161"/>
    <n v="88.81"/>
    <n v="10.210000000000001"/>
    <n v="256.02"/>
    <n v="49"/>
    <n v="40"/>
    <x v="7"/>
    <x v="9"/>
    <x v="1"/>
    <n v="0"/>
    <n v="17"/>
    <n v="2"/>
    <n v="19"/>
    <n v="80"/>
    <n v="55.94"/>
    <x v="21"/>
    <n v="71"/>
    <x v="4"/>
  </r>
  <r>
    <x v="49"/>
    <s v="Thunder"/>
    <n v="9"/>
    <n v="9"/>
    <n v="0"/>
    <n v="119"/>
    <n v="113"/>
    <n v="105.3"/>
    <n v="13.22"/>
    <n v="256.52"/>
    <n v="50"/>
    <n v="42"/>
    <x v="4"/>
    <x v="14"/>
    <x v="1"/>
    <n v="0"/>
    <n v="9"/>
    <n v="4"/>
    <n v="13"/>
    <n v="60"/>
    <n v="50.42"/>
    <x v="30"/>
    <n v="69"/>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s v="Stars"/>
    <x v="0"/>
    <n v="17"/>
    <n v="4"/>
    <x v="0"/>
    <n v="516"/>
    <x v="0"/>
    <n v="54.23"/>
    <x v="0"/>
    <x v="0"/>
    <n v="147"/>
    <s v="v Sixers"/>
    <d v="2020-01-12T00:00:00"/>
    <n v="1"/>
    <n v="6"/>
    <x v="0"/>
    <x v="0"/>
    <n v="90"/>
    <n v="416"/>
    <n v="59"/>
    <s v="MP Stoinis, HWR Cartwright"/>
    <n v="207"/>
    <s v="1st"/>
    <s v="Stars"/>
    <s v="v Sixers"/>
    <x v="0"/>
  </r>
  <r>
    <x v="1"/>
    <s v="Hurricanes"/>
    <x v="0"/>
    <n v="17"/>
    <n v="2"/>
    <x v="1"/>
    <n v="392"/>
    <x v="1"/>
    <n v="38.4"/>
    <x v="1"/>
    <x v="1"/>
    <n v="85"/>
    <s v="v Strikers"/>
    <d v="2020-01-26T00:00:00"/>
    <n v="0"/>
    <n v="6"/>
    <x v="1"/>
    <x v="1"/>
    <n v="82"/>
    <n v="374"/>
    <n v="64.930000000000007"/>
    <s v="MS Wade, DJM Short"/>
    <n v="203"/>
    <s v="1st"/>
    <s v="Hurricanes"/>
    <s v="v Strikers"/>
    <x v="0"/>
  </r>
  <r>
    <x v="2"/>
    <s v="Hurricanes"/>
    <x v="1"/>
    <n v="14"/>
    <n v="7"/>
    <x v="2"/>
    <n v="353"/>
    <x v="2"/>
    <n v="68.28"/>
    <x v="2"/>
    <x v="2"/>
    <n v="68"/>
    <s v="v Scorchers"/>
    <d v="2020-01-05T00:00:00"/>
    <n v="0"/>
    <n v="4"/>
    <x v="2"/>
    <x v="2"/>
    <n v="47"/>
    <n v="206"/>
    <n v="43.09"/>
    <s v="MR Marsh, CT Bancroft"/>
    <n v="124"/>
    <s v="4th"/>
    <s v="Scorchers"/>
    <s v="v Heat"/>
    <x v="0"/>
  </r>
  <r>
    <x v="3"/>
    <s v="Renegades"/>
    <x v="2"/>
    <n v="16"/>
    <n v="3"/>
    <x v="3"/>
    <n v="375"/>
    <x v="3"/>
    <n v="37.46"/>
    <x v="3"/>
    <x v="3"/>
    <n v="83"/>
    <s v="v Sixers"/>
    <d v="2020-01-25T00:00:00"/>
    <n v="0"/>
    <n v="5"/>
    <x v="3"/>
    <x v="3"/>
    <n v="57"/>
    <n v="260"/>
    <n v="53.38"/>
    <s v="JP Inglis, LS Livingstone"/>
    <n v="136"/>
    <s v="1st"/>
    <s v="Scorchers"/>
    <s v="v Thunder"/>
    <x v="0"/>
  </r>
  <r>
    <x v="4"/>
    <s v="Heat"/>
    <x v="3"/>
    <n v="12"/>
    <n v="0"/>
    <x v="4"/>
    <n v="362"/>
    <x v="4"/>
    <n v="37.409999999999997"/>
    <x v="4"/>
    <x v="4"/>
    <n v="63"/>
    <s v="v Sixers"/>
    <d v="2019-12-22T00:00:00"/>
    <n v="0"/>
    <n v="3"/>
    <x v="4"/>
    <x v="4"/>
    <n v="54"/>
    <n v="244"/>
    <n v="54.34"/>
    <s v="JP Inglis, LS Livingstone"/>
    <n v="124"/>
    <s v="1st"/>
    <s v="Scorchers"/>
    <s v="v Strikers"/>
    <x v="1"/>
  </r>
  <r>
    <x v="5"/>
    <s v="Scorchers"/>
    <x v="4"/>
    <n v="14"/>
    <n v="0"/>
    <x v="5"/>
    <n v="298"/>
    <x v="5"/>
    <n v="30.35"/>
    <x v="5"/>
    <x v="5"/>
    <n v="79"/>
    <s v="v Heat"/>
    <d v="2020-01-11T00:00:00"/>
    <n v="0"/>
    <n v="4"/>
    <x v="5"/>
    <x v="5"/>
    <n v="53"/>
    <n v="266"/>
    <n v="62.58"/>
    <s v="MP Stoinis, NCR Larkin"/>
    <n v="123"/>
    <s v="2nd"/>
    <s v="Stars"/>
    <s v="v Thunder"/>
    <x v="0"/>
  </r>
  <r>
    <x v="6"/>
    <s v="Thunder"/>
    <x v="4"/>
    <n v="14"/>
    <n v="0"/>
    <x v="6"/>
    <n v="263"/>
    <x v="6"/>
    <n v="28.92"/>
    <x v="6"/>
    <x v="6"/>
    <n v="73"/>
    <s v="v Scorchers"/>
    <d v="2020-01-20T00:00:00"/>
    <n v="0"/>
    <n v="4"/>
    <x v="3"/>
    <x v="6"/>
    <n v="56"/>
    <n v="254"/>
    <n v="62.71"/>
    <s v="JM Vince, MC Henriques"/>
    <n v="114"/>
    <s v="3rd"/>
    <s v="Sixers"/>
    <s v="v Stars"/>
    <x v="0"/>
  </r>
  <r>
    <x v="7"/>
    <s v="Hurricanes"/>
    <x v="4"/>
    <n v="14"/>
    <n v="4"/>
    <x v="5"/>
    <n v="322"/>
    <x v="7"/>
    <n v="42.5"/>
    <x v="7"/>
    <x v="7"/>
    <n v="67"/>
    <s v="v Strikers"/>
    <d v="2020-01-19T00:00:00"/>
    <n v="0"/>
    <n v="3"/>
    <x v="5"/>
    <x v="7"/>
    <n v="43"/>
    <n v="206"/>
    <n v="48.47"/>
    <s v="MP Stoinis, NCR Larkin"/>
    <n v="117"/>
    <s v="2nd"/>
    <s v="Stars"/>
    <s v="v Thunder"/>
    <x v="0"/>
  </r>
  <r>
    <x v="8"/>
    <s v="Sixers"/>
    <x v="0"/>
    <n v="16"/>
    <n v="6"/>
    <x v="7"/>
    <n v="268"/>
    <x v="8"/>
    <n v="39.799999999999997"/>
    <x v="8"/>
    <x v="8"/>
    <n v="83"/>
    <s v="v Strikers"/>
    <d v="2020-01-05T00:00:00"/>
    <n v="0"/>
    <n v="3"/>
    <x v="6"/>
    <x v="8"/>
    <n v="48"/>
    <n v="232"/>
    <n v="58.29"/>
    <s v="JP Inglis, MR Marsh"/>
    <n v="109"/>
    <s v="3rd"/>
    <s v="Scorchers"/>
    <s v="v Hurricanes"/>
    <x v="0"/>
  </r>
  <r>
    <x v="9"/>
    <s v="Heat"/>
    <x v="1"/>
    <n v="15"/>
    <n v="1"/>
    <x v="8"/>
    <n v="304"/>
    <x v="9"/>
    <n v="29.07"/>
    <x v="9"/>
    <x v="9"/>
    <n v="83"/>
    <s v="v Hurricanes"/>
    <d v="2020-01-03T00:00:00"/>
    <n v="0"/>
    <n v="2"/>
    <x v="7"/>
    <x v="9"/>
    <n v="60"/>
    <n v="266"/>
    <n v="65.349999999999994"/>
    <s v="NCR Larkin, GJ Maxwell"/>
    <n v="115"/>
    <s v="4th"/>
    <s v="Stars"/>
    <s v="v Renegades"/>
    <x v="0"/>
  </r>
  <r>
    <x v="10"/>
    <s v="Stars"/>
    <x v="4"/>
    <n v="14"/>
    <n v="1"/>
    <x v="9"/>
    <n v="260"/>
    <x v="10"/>
    <n v="29.76"/>
    <x v="10"/>
    <x v="10"/>
    <n v="94"/>
    <s v="v Heat"/>
    <d v="2019-12-20T00:00:00"/>
    <n v="0"/>
    <n v="2"/>
    <x v="8"/>
    <x v="1"/>
    <n v="59"/>
    <n v="282"/>
    <n v="72.86"/>
    <s v="JP Inglis, LS Livingstone"/>
    <n v="102"/>
    <s v="1st"/>
    <s v="Scorchers"/>
    <s v="v Renegades"/>
    <x v="1"/>
  </r>
  <r>
    <x v="11"/>
    <s v="Scorchers"/>
    <x v="5"/>
    <n v="8"/>
    <n v="1"/>
    <x v="10"/>
    <n v="205"/>
    <x v="11"/>
    <n v="50.14"/>
    <x v="11"/>
    <x v="11"/>
    <n v="130"/>
    <s v="v Thunder"/>
    <d v="2020-01-20T00:00:00"/>
    <n v="1"/>
    <n v="3"/>
    <x v="9"/>
    <x v="6"/>
    <n v="45"/>
    <n v="210"/>
    <n v="59.82"/>
    <s v="T Banton, CA Lynn"/>
    <n v="90"/>
    <s v="1st"/>
    <s v="Heat"/>
    <s v="v Thunder"/>
    <x v="0"/>
  </r>
  <r>
    <x v="12"/>
    <s v="Strikers"/>
    <x v="1"/>
    <n v="15"/>
    <n v="1"/>
    <x v="11"/>
    <n v="220"/>
    <x v="12"/>
    <n v="25.78"/>
    <x v="12"/>
    <x v="12"/>
    <n v="67"/>
    <s v="v Hurricanes"/>
    <d v="2020-01-19T00:00:00"/>
    <n v="0"/>
    <n v="4"/>
    <x v="10"/>
    <x v="10"/>
    <n v="57"/>
    <n v="252"/>
    <n v="69.8"/>
    <s v="M Bryant, CA Lynn"/>
    <n v="95"/>
    <s v="2nd"/>
    <s v="Heat"/>
    <s v="v Hurricanes"/>
    <x v="0"/>
  </r>
  <r>
    <x v="13"/>
    <s v="Strikers"/>
    <x v="4"/>
    <n v="14"/>
    <n v="3"/>
    <x v="12"/>
    <n v="263"/>
    <x v="13"/>
    <n v="34.72"/>
    <x v="13"/>
    <x v="13"/>
    <n v="93"/>
    <s v="v Scorchers"/>
    <d v="2019-12-23T00:00:00"/>
    <n v="0"/>
    <n v="2"/>
    <x v="11"/>
    <x v="8"/>
    <n v="39"/>
    <n v="196"/>
    <n v="51.3"/>
    <s v="AD Hales, UT Khawaja"/>
    <n v="99"/>
    <s v="1st"/>
    <s v="Thunder"/>
    <s v="v Renegades"/>
    <x v="1"/>
  </r>
  <r>
    <x v="14"/>
    <s v="Stars"/>
    <x v="6"/>
    <n v="11"/>
    <n v="0"/>
    <x v="13"/>
    <n v="312"/>
    <x v="14"/>
    <n v="35.54"/>
    <x v="14"/>
    <x v="14"/>
    <n v="55"/>
    <s v="v Renegades"/>
    <d v="2020-01-10T00:00:00"/>
    <n v="0"/>
    <n v="1"/>
    <x v="9"/>
    <x v="9"/>
    <n v="43"/>
    <n v="198"/>
    <n v="50.63"/>
    <s v="PD Salt, J Weatherald"/>
    <n v="104"/>
    <s v="1st"/>
    <s v="Strikers"/>
    <s v="v Heat"/>
    <x v="0"/>
  </r>
  <r>
    <x v="15"/>
    <s v="Stars"/>
    <x v="5"/>
    <n v="9"/>
    <n v="1"/>
    <x v="14"/>
    <n v="261"/>
    <x v="15"/>
    <n v="45.37"/>
    <x v="15"/>
    <x v="15"/>
    <n v="109"/>
    <s v="v Hurricanes"/>
    <d v="2019-12-22T00:00:00"/>
    <n v="1"/>
    <n v="3"/>
    <x v="12"/>
    <x v="3"/>
    <n v="39"/>
    <n v="188"/>
    <n v="51.79"/>
    <s v="UT Khawaja, AD Hales"/>
    <n v="96"/>
    <s v="1st"/>
    <s v="Thunder"/>
    <s v="v Hurricanes"/>
    <x v="1"/>
  </r>
  <r>
    <x v="16"/>
    <s v="Stars"/>
    <x v="0"/>
    <n v="17"/>
    <n v="0"/>
    <x v="15"/>
    <n v="312"/>
    <x v="16"/>
    <n v="22.82"/>
    <x v="16"/>
    <x v="16"/>
    <n v="66"/>
    <s v="v Thunder"/>
    <d v="2020-02-06T00:00:00"/>
    <n v="0"/>
    <n v="3"/>
    <x v="13"/>
    <x v="11"/>
    <n v="47"/>
    <n v="198"/>
    <n v="51.03"/>
    <s v="UT Khawaja, AD Hales"/>
    <n v="103"/>
    <s v="1st"/>
    <s v="Thunder"/>
    <s v="v Hurricanes"/>
    <x v="2"/>
  </r>
  <r>
    <x v="17"/>
    <s v="Sixers"/>
    <x v="0"/>
    <n v="15"/>
    <n v="5"/>
    <x v="16"/>
    <n v="286"/>
    <x v="17"/>
    <n v="37.200000000000003"/>
    <x v="17"/>
    <x v="17"/>
    <n v="58"/>
    <s v="v Scorchers"/>
    <d v="2019-12-18T00:00:00"/>
    <n v="0"/>
    <n v="2"/>
    <x v="14"/>
    <x v="4"/>
    <n v="39"/>
    <n v="184"/>
    <n v="49.46"/>
    <s v="MS Wade, M Wright"/>
    <n v="97"/>
    <s v="2nd"/>
    <s v="Hurricanes"/>
    <s v="v Thunder"/>
    <x v="1"/>
  </r>
  <r>
    <x v="18"/>
    <s v="Scorchers"/>
    <x v="5"/>
    <n v="9"/>
    <n v="1"/>
    <x v="17"/>
    <n v="272"/>
    <x v="18"/>
    <n v="44.62"/>
    <x v="18"/>
    <x v="18"/>
    <n v="103"/>
    <s v="v Strikers"/>
    <d v="2020-01-24T00:00:00"/>
    <n v="1"/>
    <n v="3"/>
    <x v="6"/>
    <x v="4"/>
    <n v="42"/>
    <n v="196"/>
    <n v="54.9"/>
    <s v="SE Marsh, BJ Webster"/>
    <n v="92"/>
    <s v="4th"/>
    <s v="Renegades"/>
    <s v="v Scorchers"/>
    <x v="0"/>
  </r>
  <r>
    <x v="19"/>
    <s v="Stars"/>
    <x v="0"/>
    <n v="17"/>
    <n v="4"/>
    <x v="18"/>
    <n v="297"/>
    <x v="19"/>
    <n v="28.92"/>
    <x v="19"/>
    <x v="19"/>
    <n v="73"/>
    <s v="v Thunder"/>
    <d v="2020-02-06T00:00:00"/>
    <n v="0"/>
    <n v="3"/>
    <x v="15"/>
    <x v="12"/>
    <n v="43"/>
    <n v="188"/>
    <n v="50"/>
    <s v="TM Head, JW Wells"/>
    <n v="97"/>
    <s v="3rd"/>
    <s v="Strikers"/>
    <s v="v Hurricanes"/>
    <x v="2"/>
  </r>
  <r>
    <x v="20"/>
    <s v="Thunder"/>
    <x v="4"/>
    <n v="14"/>
    <n v="2"/>
    <x v="19"/>
    <n v="268"/>
    <x v="20"/>
    <n v="29"/>
    <x v="20"/>
    <x v="20"/>
    <n v="65"/>
    <s v="v Heat"/>
    <d v="2019-12-17T00:00:00"/>
    <n v="0"/>
    <n v="3"/>
    <x v="16"/>
    <x v="9"/>
    <n v="40"/>
    <n v="186"/>
    <n v="53.44"/>
    <s v="AT Carey, JW Wells"/>
    <n v="89"/>
    <s v="4th"/>
    <s v="Strikers"/>
    <s v="v Stars"/>
    <x v="1"/>
  </r>
  <r>
    <x v="21"/>
    <s v="Renegades"/>
    <x v="4"/>
    <n v="11"/>
    <n v="3"/>
    <x v="20"/>
    <n v="217"/>
    <x v="21"/>
    <n v="37.119999999999997"/>
    <x v="21"/>
    <x v="21"/>
    <n v="83"/>
    <s v="v Scorchers"/>
    <d v="2020-01-07T00:00:00"/>
    <n v="0"/>
    <n v="2"/>
    <x v="17"/>
    <x v="12"/>
    <n v="37"/>
    <n v="164"/>
    <n v="55.21"/>
    <s v="J Weatherald, MW Short"/>
    <n v="86"/>
    <s v="2nd"/>
    <s v="Strikers"/>
    <s v="v Scorchers"/>
    <x v="0"/>
  </r>
  <r>
    <x v="22"/>
    <s v="Thunder"/>
    <x v="1"/>
    <n v="15"/>
    <n v="1"/>
    <x v="21"/>
    <n v="262"/>
    <x v="22"/>
    <n v="23.07"/>
    <x v="22"/>
    <x v="22"/>
    <n v="51"/>
    <s v="v Strikers"/>
    <d v="2019-12-31T00:00:00"/>
    <n v="0"/>
    <n v="1"/>
    <x v="18"/>
    <x v="2"/>
    <n v="33"/>
    <n v="150"/>
    <n v="46.43"/>
    <s v="AJ Finch, Mohammad Nabi"/>
    <n v="87"/>
    <s v="4th"/>
    <s v="Renegades"/>
    <s v="v Heat"/>
    <x v="1"/>
  </r>
  <r>
    <x v="23"/>
    <s v="Sixers"/>
    <x v="3"/>
    <n v="12"/>
    <n v="1"/>
    <x v="22"/>
    <n v="193"/>
    <x v="23"/>
    <n v="25.36"/>
    <x v="23"/>
    <x v="23"/>
    <n v="73"/>
    <s v="v Stars"/>
    <d v="2020-01-20T00:00:00"/>
    <n v="0"/>
    <n v="2"/>
    <x v="6"/>
    <x v="13"/>
    <n v="38"/>
    <n v="172"/>
    <n v="61.64"/>
    <s v="BJ Webster, Mohammad Nabi"/>
    <n v="85"/>
    <s v="3rd"/>
    <s v="Renegades"/>
    <s v="v Hurricanes"/>
    <x v="0"/>
  </r>
  <r>
    <x v="24"/>
    <s v="Hurricanes"/>
    <x v="4"/>
    <n v="14"/>
    <n v="3"/>
    <x v="23"/>
    <n v="180"/>
    <x v="24"/>
    <n v="24.27"/>
    <x v="24"/>
    <x v="24"/>
    <n v="72"/>
    <s v="v Strikers"/>
    <d v="2020-01-26T00:00:00"/>
    <n v="0"/>
    <n v="1"/>
    <x v="19"/>
    <x v="6"/>
    <n v="27"/>
    <n v="138"/>
    <n v="51.68"/>
    <s v="SD Heazlett, CA Lynn"/>
    <n v="84"/>
    <s v="2nd"/>
    <s v="Heat"/>
    <s v="v Sixers"/>
    <x v="0"/>
  </r>
  <r>
    <x v="25"/>
    <s v="Stars"/>
    <x v="7"/>
    <n v="7"/>
    <n v="0"/>
    <x v="24"/>
    <n v="126"/>
    <x v="25"/>
    <n v="31.85"/>
    <x v="25"/>
    <x v="25"/>
    <n v="64"/>
    <s v="v Renegades"/>
    <d v="2020-01-04T00:00:00"/>
    <n v="0"/>
    <n v="3"/>
    <x v="20"/>
    <x v="3"/>
    <n v="34"/>
    <n v="168"/>
    <n v="75.33"/>
    <s v="JW Wells, MW Short"/>
    <n v="80"/>
    <s v="5th"/>
    <s v="Strikers"/>
    <s v="v Renegades"/>
    <x v="0"/>
  </r>
  <r>
    <x v="26"/>
    <s v="Scorchers"/>
    <x v="4"/>
    <n v="13"/>
    <n v="3"/>
    <x v="25"/>
    <n v="257"/>
    <x v="26"/>
    <n v="29"/>
    <x v="26"/>
    <x v="26"/>
    <n v="51"/>
    <s v="v Hurricanes"/>
    <d v="2020-01-13T00:00:00"/>
    <n v="0"/>
    <n v="2"/>
    <x v="21"/>
    <x v="14"/>
    <n v="23"/>
    <n v="106"/>
    <n v="36.549999999999997"/>
    <s v="SE Marsh, MS Harris"/>
    <n v="86"/>
    <s v="1st"/>
    <s v="Renegades"/>
    <s v="v Stars"/>
    <x v="0"/>
  </r>
  <r>
    <x v="27"/>
    <s v="Heat"/>
    <x v="2"/>
    <n v="15"/>
    <n v="2"/>
    <x v="23"/>
    <n v="215"/>
    <x v="27"/>
    <n v="20.53"/>
    <x v="27"/>
    <x v="27"/>
    <n v="40"/>
    <s v="v Stars"/>
    <d v="2020-01-25T00:00:00"/>
    <n v="0"/>
    <n v="0"/>
    <x v="6"/>
    <x v="15"/>
    <n v="32"/>
    <n v="136"/>
    <n v="50.93"/>
    <s v="SD Heazlett, CA Lynn"/>
    <n v="84"/>
    <s v="1st"/>
    <s v="Heat"/>
    <s v="v Renegades"/>
    <x v="0"/>
  </r>
  <r>
    <x v="28"/>
    <s v="Hurricanes"/>
    <x v="1"/>
    <n v="14"/>
    <n v="4"/>
    <x v="26"/>
    <n v="216"/>
    <x v="28"/>
    <n v="26.5"/>
    <x v="28"/>
    <x v="28"/>
    <n v="51"/>
    <s v="v Renegades"/>
    <d v="2020-01-21T00:00:00"/>
    <n v="0"/>
    <n v="1"/>
    <x v="22"/>
    <x v="16"/>
    <n v="22"/>
    <n v="110"/>
    <n v="41.5"/>
    <s v="MS Wade, M Wright"/>
    <n v="84"/>
    <s v="1st"/>
    <s v="Hurricanes"/>
    <s v="v Renegades"/>
    <x v="0"/>
  </r>
  <r>
    <x v="29"/>
    <s v="Strikers"/>
    <x v="8"/>
    <n v="7"/>
    <n v="0"/>
    <x v="27"/>
    <n v="162"/>
    <x v="29"/>
    <n v="32.57"/>
    <x v="29"/>
    <x v="29"/>
    <n v="79"/>
    <s v="v Stars"/>
    <d v="2019-12-27T00:00:00"/>
    <n v="0"/>
    <n v="1"/>
    <x v="11"/>
    <x v="13"/>
    <n v="29"/>
    <n v="136"/>
    <n v="59.64"/>
    <s v="NJ Maddinson, MP Stoinis"/>
    <n v="81"/>
    <s v="1st"/>
    <s v="Stars"/>
    <s v="v Hurricanes"/>
    <x v="1"/>
  </r>
  <r>
    <x v="30"/>
    <s v="Scorchers"/>
    <x v="5"/>
    <n v="8"/>
    <n v="2"/>
    <x v="28"/>
    <n v="182"/>
    <x v="30"/>
    <n v="38.33"/>
    <x v="30"/>
    <x v="30"/>
    <n v="59"/>
    <s v="v Strikers"/>
    <d v="2019-12-23T00:00:00"/>
    <n v="0"/>
    <n v="2"/>
    <x v="16"/>
    <x v="17"/>
    <n v="33"/>
    <n v="144"/>
    <n v="62.6"/>
    <s v="CJ Ferguson, M Gilkes"/>
    <n v="83"/>
    <s v="3rd"/>
    <s v="Thunder"/>
    <s v="v Stars"/>
    <x v="1"/>
  </r>
  <r>
    <x v="31"/>
    <s v="Stars"/>
    <x v="9"/>
    <n v="6"/>
    <n v="3"/>
    <x v="29"/>
    <n v="100"/>
    <x v="31"/>
    <n v="53.33"/>
    <x v="31"/>
    <x v="31"/>
    <n v="63"/>
    <s v="v Strikers"/>
    <d v="2020-01-22T00:00:00"/>
    <n v="0"/>
    <n v="1"/>
    <x v="22"/>
    <x v="14"/>
    <n v="18"/>
    <n v="86"/>
    <n v="53.75"/>
    <s v="JR Philippe, DP Hughes"/>
    <n v="73"/>
    <s v="1st"/>
    <s v="Sixers"/>
    <s v="v Scorchers"/>
    <x v="0"/>
  </r>
  <r>
    <x v="32"/>
    <s v="Thunder"/>
    <x v="4"/>
    <n v="13"/>
    <n v="4"/>
    <x v="30"/>
    <n v="177"/>
    <x v="32"/>
    <n v="24.11"/>
    <x v="32"/>
    <x v="32"/>
    <n v="43"/>
    <s v="v Renegades"/>
    <d v="2019-12-19T00:00:00"/>
    <n v="0"/>
    <n v="0"/>
    <x v="23"/>
    <x v="13"/>
    <n v="27"/>
    <n v="128"/>
    <n v="58.98"/>
    <s v="PD Salt, TM Head"/>
    <n v="79"/>
    <s v="2nd"/>
    <s v="Strikers"/>
    <s v="v Hurricanes"/>
    <x v="1"/>
  </r>
  <r>
    <x v="33"/>
    <s v="Renegades"/>
    <x v="4"/>
    <n v="12"/>
    <n v="3"/>
    <x v="31"/>
    <n v="151"/>
    <x v="33"/>
    <n v="22"/>
    <x v="33"/>
    <x v="33"/>
    <n v="90"/>
    <s v="v Scorchers"/>
    <d v="2019-12-21T00:00:00"/>
    <n v="0"/>
    <n v="1"/>
    <x v="24"/>
    <x v="2"/>
    <n v="19"/>
    <n v="94"/>
    <n v="47.47"/>
    <s v="MT Renshaw, AB de Villiers"/>
    <n v="77"/>
    <s v="3rd"/>
    <s v="Heat"/>
    <s v="v Strikers"/>
    <x v="1"/>
  </r>
  <r>
    <x v="34"/>
    <s v="Strikers"/>
    <x v="3"/>
    <n v="10"/>
    <n v="4"/>
    <x v="32"/>
    <n v="146"/>
    <x v="34"/>
    <n v="31.33"/>
    <x v="34"/>
    <x v="34"/>
    <n v="65"/>
    <s v="v Heat"/>
    <d v="2020-01-17T00:00:00"/>
    <n v="0"/>
    <n v="1"/>
    <x v="25"/>
    <x v="11"/>
    <n v="19"/>
    <n v="86"/>
    <n v="45.74"/>
    <s v="MR Marsh, C Green"/>
    <n v="75"/>
    <s v="4th"/>
    <s v="Scorchers"/>
    <s v="v Hurricanes"/>
    <x v="0"/>
  </r>
  <r>
    <x v="35"/>
    <s v="Strikers"/>
    <x v="4"/>
    <n v="9"/>
    <n v="1"/>
    <x v="33"/>
    <n v="116"/>
    <x v="35"/>
    <n v="21.62"/>
    <x v="35"/>
    <x v="35"/>
    <n v="43"/>
    <s v="v Hurricanes"/>
    <d v="2020-01-26T00:00:00"/>
    <n v="0"/>
    <n v="0"/>
    <x v="26"/>
    <x v="12"/>
    <n v="23"/>
    <n v="108"/>
    <n v="62.42"/>
    <s v="SPD Smith, DP Hughes"/>
    <n v="73"/>
    <s v="4th"/>
    <s v="Sixers"/>
    <s v="v Renegades"/>
    <x v="0"/>
  </r>
  <r>
    <x v="36"/>
    <s v="Hurricanes"/>
    <x v="1"/>
    <n v="13"/>
    <n v="2"/>
    <x v="34"/>
    <n v="128"/>
    <x v="36"/>
    <n v="16"/>
    <x v="36"/>
    <x v="36"/>
    <n v="41"/>
    <s v="v Renegades"/>
    <d v="2020-01-21T00:00:00"/>
    <n v="0"/>
    <n v="0"/>
    <x v="22"/>
    <x v="12"/>
    <n v="19"/>
    <n v="92"/>
    <n v="52.27"/>
    <s v="DJM Short, BR McDermott"/>
    <n v="74"/>
    <s v="3rd"/>
    <s v="Hurricanes"/>
    <s v="v Renegades"/>
    <x v="0"/>
  </r>
  <r>
    <x v="37"/>
    <s v="Stars"/>
    <x v="10"/>
    <n v="4"/>
    <n v="1"/>
    <x v="35"/>
    <n v="119"/>
    <x v="37"/>
    <n v="49.66"/>
    <x v="37"/>
    <x v="37"/>
    <n v="70"/>
    <s v="v Thunder"/>
    <d v="2020-01-02T00:00:00"/>
    <n v="0"/>
    <n v="2"/>
    <x v="22"/>
    <x v="11"/>
    <n v="16"/>
    <n v="74"/>
    <n v="49.66"/>
    <s v="UT Khawaja, CJ Ferguson"/>
    <n v="73"/>
    <s v="2nd"/>
    <s v="Thunder"/>
    <s v="v Strikers"/>
    <x v="0"/>
  </r>
  <r>
    <x v="38"/>
    <s v="Thunder"/>
    <x v="6"/>
    <n v="10"/>
    <n v="0"/>
    <x v="36"/>
    <n v="164"/>
    <x v="38"/>
    <n v="18.100000000000001"/>
    <x v="38"/>
    <x v="38"/>
    <n v="31"/>
    <s v="v Renegades"/>
    <d v="2019-12-19T00:00:00"/>
    <n v="0"/>
    <n v="0"/>
    <x v="27"/>
    <x v="18"/>
    <n v="22"/>
    <n v="90"/>
    <n v="49.72"/>
    <s v="AJ Finch, SE Marsh"/>
    <n v="74"/>
    <s v="2nd"/>
    <s v="Renegades"/>
    <s v="v Hurricanes"/>
    <x v="1"/>
  </r>
  <r>
    <x v="39"/>
    <s v="Sixers"/>
    <x v="2"/>
    <n v="10"/>
    <n v="3"/>
    <x v="32"/>
    <n v="177"/>
    <x v="39"/>
    <n v="26.85"/>
    <x v="39"/>
    <x v="39"/>
    <n v="36"/>
    <s v="v Renegades"/>
    <d v="2020-01-25T00:00:00"/>
    <n v="0"/>
    <n v="0"/>
    <x v="28"/>
    <x v="19"/>
    <n v="10"/>
    <n v="46"/>
    <n v="24.46"/>
    <s v="JR Philippe, JM Vince"/>
    <n v="75"/>
    <s v="1st"/>
    <s v="Sixers"/>
    <s v="v Heat"/>
    <x v="0"/>
  </r>
  <r>
    <x v="40"/>
    <s v="Heat"/>
    <x v="11"/>
    <n v="10"/>
    <n v="0"/>
    <x v="37"/>
    <n v="101"/>
    <x v="40"/>
    <n v="14.5"/>
    <x v="40"/>
    <x v="40"/>
    <n v="65"/>
    <s v="v Renegades"/>
    <d v="2020-01-27T00:00:00"/>
    <n v="0"/>
    <n v="1"/>
    <x v="11"/>
    <x v="11"/>
    <n v="24"/>
    <n v="106"/>
    <n v="73.099999999999994"/>
    <s v="JR Philippe, J Avendano"/>
    <n v="72"/>
    <s v="1st"/>
    <s v="Sixers"/>
    <s v="v Strikers"/>
    <x v="0"/>
  </r>
  <r>
    <x v="41"/>
    <s v="Renegades"/>
    <x v="12"/>
    <n v="4"/>
    <n v="1"/>
    <x v="38"/>
    <n v="79"/>
    <x v="41"/>
    <n v="40"/>
    <x v="41"/>
    <x v="41"/>
    <n v="66"/>
    <s v="v Hurricanes"/>
    <d v="2020-01-21T00:00:00"/>
    <n v="0"/>
    <n v="1"/>
    <x v="19"/>
    <x v="19"/>
    <n v="15"/>
    <n v="66"/>
    <n v="55"/>
    <s v="AB de Villiers, M Labuschagne"/>
    <n v="70"/>
    <s v="5th"/>
    <s v="Heat"/>
    <s v="v Stars"/>
    <x v="0"/>
  </r>
  <r>
    <x v="42"/>
    <s v="Heat"/>
    <x v="9"/>
    <n v="6"/>
    <n v="0"/>
    <x v="39"/>
    <n v="104"/>
    <x v="42"/>
    <n v="24.33"/>
    <x v="42"/>
    <x v="42"/>
    <n v="71"/>
    <s v="v Hurricanes"/>
    <d v="2020-01-03T00:00:00"/>
    <n v="0"/>
    <n v="1"/>
    <x v="29"/>
    <x v="17"/>
    <n v="14"/>
    <n v="68"/>
    <n v="46.57"/>
    <s v="AJ Finch, Mohammad Nabi"/>
    <n v="73"/>
    <s v="4th"/>
    <s v="Renegades"/>
    <s v="v Sixers"/>
    <x v="0"/>
  </r>
  <r>
    <x v="43"/>
    <s v="Renegades"/>
    <x v="4"/>
    <n v="10"/>
    <n v="3"/>
    <x v="40"/>
    <n v="89"/>
    <x v="43"/>
    <n v="19"/>
    <x v="43"/>
    <x v="43"/>
    <n v="43"/>
    <s v="v Heat"/>
    <d v="2020-01-27T00:00:00"/>
    <n v="0"/>
    <n v="0"/>
    <x v="30"/>
    <x v="15"/>
    <n v="17"/>
    <n v="76"/>
    <n v="57.14"/>
    <s v="SB Harper, BJ Webster"/>
    <n v="71"/>
    <s v="4th"/>
    <s v="Renegades"/>
    <s v="v Scorchers"/>
    <x v="0"/>
  </r>
  <r>
    <x v="44"/>
    <s v="Renegades"/>
    <x v="1"/>
    <n v="12"/>
    <n v="4"/>
    <x v="41"/>
    <n v="81"/>
    <x v="44"/>
    <n v="15.5"/>
    <x v="44"/>
    <x v="44"/>
    <n v="40"/>
    <s v="v Stars"/>
    <d v="2020-01-10T00:00:00"/>
    <n v="0"/>
    <n v="0"/>
    <x v="24"/>
    <x v="12"/>
    <n v="18"/>
    <n v="88"/>
    <n v="70.959999999999994"/>
    <s v="JR Philippe, DP Hughes"/>
    <n v="70"/>
    <s v="1st"/>
    <s v="Sixers"/>
    <s v="v Renegades"/>
    <x v="0"/>
  </r>
  <r>
    <x v="45"/>
    <s v="Hurricanes"/>
    <x v="8"/>
    <n v="8"/>
    <n v="0"/>
    <x v="40"/>
    <n v="104"/>
    <x v="45"/>
    <n v="16.62"/>
    <x v="45"/>
    <x v="45"/>
    <n v="56"/>
    <s v="v Thunder"/>
    <d v="2020-01-24T00:00:00"/>
    <n v="0"/>
    <n v="1"/>
    <x v="21"/>
    <x v="20"/>
    <n v="18"/>
    <n v="76"/>
    <n v="57.14"/>
    <s v="J Weatherald, AT Carey"/>
    <n v="71"/>
    <s v="3rd"/>
    <s v="Strikers"/>
    <s v="v Scorchers"/>
    <x v="0"/>
  </r>
  <r>
    <x v="46"/>
    <s v="Stars"/>
    <x v="1"/>
    <n v="13"/>
    <n v="4"/>
    <x v="42"/>
    <n v="76"/>
    <x v="46"/>
    <n v="12.44"/>
    <x v="46"/>
    <x v="46"/>
    <n v="21"/>
    <s v="v Sixers"/>
    <d v="2020-01-20T00:00:00"/>
    <n v="0"/>
    <n v="0"/>
    <x v="31"/>
    <x v="15"/>
    <n v="13"/>
    <n v="60"/>
    <n v="53.57"/>
    <m/>
    <m/>
    <m/>
    <m/>
    <m/>
    <x v="0"/>
  </r>
  <r>
    <x v="47"/>
    <s v="Thunder"/>
    <x v="4"/>
    <n v="14"/>
    <n v="4"/>
    <x v="43"/>
    <n v="101"/>
    <x v="47"/>
    <n v="12.8"/>
    <x v="47"/>
    <x v="47"/>
    <n v="32"/>
    <s v="v Strikers"/>
    <d v="2019-12-31T00:00:00"/>
    <n v="0"/>
    <n v="0"/>
    <x v="29"/>
    <x v="11"/>
    <n v="13"/>
    <n v="62"/>
    <n v="48.43"/>
    <s v="J Weatherald, PD Salt"/>
    <n v="71"/>
    <s v="1st"/>
    <s v="Strikers"/>
    <s v="v Scorchers"/>
    <x v="1"/>
  </r>
  <r>
    <x v="48"/>
    <s v="Heat"/>
    <x v="4"/>
    <n v="14"/>
    <n v="0"/>
    <x v="44"/>
    <n v="161"/>
    <x v="48"/>
    <n v="10.210000000000001"/>
    <x v="48"/>
    <x v="48"/>
    <n v="40"/>
    <s v="v Stars"/>
    <d v="2019-12-20T00:00:00"/>
    <n v="0"/>
    <n v="0"/>
    <x v="23"/>
    <x v="20"/>
    <n v="19"/>
    <n v="80"/>
    <n v="55.94"/>
    <s v="JW Wells, MW Short"/>
    <n v="71"/>
    <s v="5th"/>
    <s v="Strikers"/>
    <s v="v Stars"/>
    <x v="1"/>
  </r>
  <r>
    <x v="49"/>
    <s v="Thunder"/>
    <x v="5"/>
    <n v="9"/>
    <n v="0"/>
    <x v="45"/>
    <n v="113"/>
    <x v="49"/>
    <n v="13.22"/>
    <x v="49"/>
    <x v="49"/>
    <n v="42"/>
    <s v="v Hurricanes"/>
    <d v="2020-01-24T00:00:00"/>
    <n v="0"/>
    <n v="0"/>
    <x v="31"/>
    <x v="15"/>
    <n v="13"/>
    <n v="60"/>
    <n v="50.42"/>
    <s v="DJM Short, BR McDermott"/>
    <n v="69"/>
    <s v="3rd"/>
    <s v="Hurricanes"/>
    <s v="v Scorchers"/>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990C3D-284A-4E33-BE4E-98129A137EF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layers">
  <location ref="P3:R9" firstHeaderRow="0" firstDataRow="1" firstDataCol="1"/>
  <pivotFields count="24">
    <pivotField axis="axisRow" showAll="0" measureFilter="1" sortType="ascending">
      <items count="51">
        <item x="40"/>
        <item x="1"/>
        <item x="15"/>
        <item x="16"/>
        <item x="10"/>
        <item x="31"/>
        <item x="6"/>
        <item x="27"/>
        <item x="12"/>
        <item x="49"/>
        <item x="14"/>
        <item x="35"/>
        <item x="23"/>
        <item x="32"/>
        <item x="18"/>
        <item x="26"/>
        <item x="45"/>
        <item x="37"/>
        <item x="9"/>
        <item x="28"/>
        <item x="7"/>
        <item x="34"/>
        <item x="21"/>
        <item x="8"/>
        <item x="2"/>
        <item x="3"/>
        <item x="5"/>
        <item x="41"/>
        <item x="39"/>
        <item x="25"/>
        <item x="38"/>
        <item x="0"/>
        <item x="13"/>
        <item x="48"/>
        <item x="19"/>
        <item x="20"/>
        <item x="36"/>
        <item x="22"/>
        <item x="42"/>
        <item x="17"/>
        <item x="33"/>
        <item x="46"/>
        <item x="24"/>
        <item x="43"/>
        <item x="4"/>
        <item x="47"/>
        <item x="30"/>
        <item x="44"/>
        <item x="2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dataField="1" showAll="0"/>
    <pivotField showAll="0"/>
    <pivotField showAll="0"/>
    <pivotField numFmtId="164" showAll="0">
      <items count="29">
        <item x="15"/>
        <item x="13"/>
        <item x="22"/>
        <item x="11"/>
        <item x="23"/>
        <item x="4"/>
        <item x="12"/>
        <item x="20"/>
        <item x="16"/>
        <item x="26"/>
        <item x="7"/>
        <item x="21"/>
        <item x="3"/>
        <item x="17"/>
        <item x="9"/>
        <item x="5"/>
        <item x="0"/>
        <item x="18"/>
        <item x="24"/>
        <item x="6"/>
        <item x="8"/>
        <item x="19"/>
        <item x="25"/>
        <item x="14"/>
        <item x="2"/>
        <item x="1"/>
        <item x="27"/>
        <item x="10"/>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v="28"/>
    </i>
    <i>
      <x v="34"/>
    </i>
    <i>
      <x v="30"/>
    </i>
    <i>
      <x v="31"/>
    </i>
    <i>
      <x v="25"/>
    </i>
    <i t="grand">
      <x/>
    </i>
  </rowItems>
  <colFields count="1">
    <field x="-2"/>
  </colFields>
  <colItems count="2">
    <i>
      <x/>
    </i>
    <i i="1">
      <x v="1"/>
    </i>
  </colItems>
  <dataFields count="2">
    <dataField name=" Batting Average" fld="8" subtotal="average" baseField="0" baseItem="0" numFmtId="165"/>
    <dataField name=" Not Outs" fld="4" baseField="0"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25"/>
          </reference>
        </references>
      </pivotArea>
    </chartFormat>
    <chartFormat chart="0" format="3">
      <pivotArea type="data" outline="0" fieldPosition="0">
        <references count="2">
          <reference field="4294967294" count="1" selected="0">
            <x v="0"/>
          </reference>
          <reference field="0" count="1" selected="0">
            <x v="31"/>
          </reference>
        </references>
      </pivotArea>
    </chartFormat>
    <chartFormat chart="0" format="4">
      <pivotArea type="data" outline="0" fieldPosition="0">
        <references count="2">
          <reference field="4294967294" count="1" selected="0">
            <x v="0"/>
          </reference>
          <reference field="0" count="1" selected="0">
            <x v="30"/>
          </reference>
        </references>
      </pivotArea>
    </chartFormat>
    <chartFormat chart="0" format="5">
      <pivotArea type="data" outline="0" fieldPosition="0">
        <references count="2">
          <reference field="4294967294" count="1" selected="0">
            <x v="0"/>
          </reference>
          <reference field="0" count="1" selected="0">
            <x v="34"/>
          </reference>
        </references>
      </pivotArea>
    </chartFormat>
    <chartFormat chart="0" format="6">
      <pivotArea type="data" outline="0" fieldPosition="0">
        <references count="2">
          <reference field="4294967294" count="1" selected="0">
            <x v="0"/>
          </reference>
          <reference field="0" count="1" selected="0">
            <x v="28"/>
          </reference>
        </references>
      </pivotArea>
    </chartFormat>
    <chartFormat chart="0" format="7">
      <pivotArea type="data" outline="0" fieldPosition="0">
        <references count="2">
          <reference field="4294967294" count="1" selected="0">
            <x v="1"/>
          </reference>
          <reference field="0" count="1" selected="0">
            <x v="31"/>
          </reference>
        </references>
      </pivotArea>
    </chartFormat>
    <chartFormat chart="0" format="8">
      <pivotArea type="data" outline="0" fieldPosition="0">
        <references count="2">
          <reference field="4294967294" count="1" selected="0">
            <x v="1"/>
          </reference>
          <reference field="0" count="1" selected="0">
            <x v="30"/>
          </reference>
        </references>
      </pivotArea>
    </chartFormat>
    <chartFormat chart="0" format="9">
      <pivotArea type="data" outline="0" fieldPosition="0">
        <references count="2">
          <reference field="4294967294" count="1" selected="0">
            <x v="1"/>
          </reference>
          <reference field="0" count="1" selected="0">
            <x v="34"/>
          </reference>
        </references>
      </pivotArea>
    </chartFormat>
    <chartFormat chart="0" format="10">
      <pivotArea type="data" outline="0" fieldPosition="0">
        <references count="2">
          <reference field="4294967294" count="1" selected="0">
            <x v="1"/>
          </reference>
          <reference field="0" count="1" selected="0">
            <x v="28"/>
          </reference>
        </references>
      </pivotArea>
    </chartFormat>
    <chartFormat chart="0" format="11">
      <pivotArea type="data" outline="0" fieldPosition="0">
        <references count="2">
          <reference field="4294967294" count="1" selected="0">
            <x v="1"/>
          </reference>
          <reference field="0" count="1" selected="0">
            <x v="25"/>
          </reference>
        </references>
      </pivotArea>
    </chartFormat>
    <chartFormat chart="3" format="24" series="1">
      <pivotArea type="data" outline="0" fieldPosition="0">
        <references count="1">
          <reference field="4294967294" count="1" selected="0">
            <x v="0"/>
          </reference>
        </references>
      </pivotArea>
    </chartFormat>
    <chartFormat chart="3" format="25">
      <pivotArea type="data" outline="0" fieldPosition="0">
        <references count="2">
          <reference field="4294967294" count="1" selected="0">
            <x v="0"/>
          </reference>
          <reference field="0" count="1" selected="0">
            <x v="28"/>
          </reference>
        </references>
      </pivotArea>
    </chartFormat>
    <chartFormat chart="3" format="26">
      <pivotArea type="data" outline="0" fieldPosition="0">
        <references count="2">
          <reference field="4294967294" count="1" selected="0">
            <x v="0"/>
          </reference>
          <reference field="0" count="1" selected="0">
            <x v="34"/>
          </reference>
        </references>
      </pivotArea>
    </chartFormat>
    <chartFormat chart="3" format="27">
      <pivotArea type="data" outline="0" fieldPosition="0">
        <references count="2">
          <reference field="4294967294" count="1" selected="0">
            <x v="0"/>
          </reference>
          <reference field="0" count="1" selected="0">
            <x v="30"/>
          </reference>
        </references>
      </pivotArea>
    </chartFormat>
    <chartFormat chart="3" format="28">
      <pivotArea type="data" outline="0" fieldPosition="0">
        <references count="2">
          <reference field="4294967294" count="1" selected="0">
            <x v="0"/>
          </reference>
          <reference field="0" count="1" selected="0">
            <x v="31"/>
          </reference>
        </references>
      </pivotArea>
    </chartFormat>
    <chartFormat chart="3" format="29">
      <pivotArea type="data" outline="0" fieldPosition="0">
        <references count="2">
          <reference field="4294967294" count="1" selected="0">
            <x v="0"/>
          </reference>
          <reference field="0" count="1" selected="0">
            <x v="25"/>
          </reference>
        </references>
      </pivotArea>
    </chartFormat>
    <chartFormat chart="3" format="30" series="1">
      <pivotArea type="data" outline="0" fieldPosition="0">
        <references count="1">
          <reference field="4294967294" count="1" selected="0">
            <x v="1"/>
          </reference>
        </references>
      </pivotArea>
    </chartFormat>
    <chartFormat chart="3" format="31">
      <pivotArea type="data" outline="0" fieldPosition="0">
        <references count="2">
          <reference field="4294967294" count="1" selected="0">
            <x v="1"/>
          </reference>
          <reference field="0" count="1" selected="0">
            <x v="28"/>
          </reference>
        </references>
      </pivotArea>
    </chartFormat>
    <chartFormat chart="3" format="32">
      <pivotArea type="data" outline="0" fieldPosition="0">
        <references count="2">
          <reference field="4294967294" count="1" selected="0">
            <x v="1"/>
          </reference>
          <reference field="0" count="1" selected="0">
            <x v="34"/>
          </reference>
        </references>
      </pivotArea>
    </chartFormat>
    <chartFormat chart="3" format="33">
      <pivotArea type="data" outline="0" fieldPosition="0">
        <references count="2">
          <reference field="4294967294" count="1" selected="0">
            <x v="1"/>
          </reference>
          <reference field="0" count="1" selected="0">
            <x v="30"/>
          </reference>
        </references>
      </pivotArea>
    </chartFormat>
    <chartFormat chart="3" format="34">
      <pivotArea type="data" outline="0" fieldPosition="0">
        <references count="2">
          <reference field="4294967294" count="1" selected="0">
            <x v="1"/>
          </reference>
          <reference field="0" count="1" selected="0">
            <x v="31"/>
          </reference>
        </references>
      </pivotArea>
    </chartFormat>
    <chartFormat chart="3" format="35">
      <pivotArea type="data" outline="0" fieldPosition="0">
        <references count="2">
          <reference field="4294967294" count="1" selected="0">
            <x v="1"/>
          </reference>
          <reference field="0" count="1" selected="0">
            <x v="25"/>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B03584-B063-4215-81BE-81D7D5A3E73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layers">
  <location ref="J3:K9" firstHeaderRow="1" firstDataRow="1" firstDataCol="1"/>
  <pivotFields count="24">
    <pivotField axis="axisRow" showAll="0" measureFilter="1" sortType="ascending">
      <items count="51">
        <item x="40"/>
        <item x="1"/>
        <item x="15"/>
        <item x="16"/>
        <item x="10"/>
        <item x="31"/>
        <item x="6"/>
        <item x="27"/>
        <item x="12"/>
        <item x="49"/>
        <item x="14"/>
        <item x="35"/>
        <item x="23"/>
        <item x="32"/>
        <item x="18"/>
        <item x="26"/>
        <item x="45"/>
        <item x="37"/>
        <item x="9"/>
        <item x="28"/>
        <item x="7"/>
        <item x="34"/>
        <item x="21"/>
        <item x="8"/>
        <item x="2"/>
        <item x="3"/>
        <item x="5"/>
        <item x="41"/>
        <item x="39"/>
        <item x="25"/>
        <item x="38"/>
        <item x="0"/>
        <item x="13"/>
        <item x="48"/>
        <item x="19"/>
        <item x="20"/>
        <item x="36"/>
        <item x="22"/>
        <item x="42"/>
        <item x="17"/>
        <item x="33"/>
        <item x="46"/>
        <item x="24"/>
        <item x="43"/>
        <item x="4"/>
        <item x="47"/>
        <item x="30"/>
        <item x="44"/>
        <item x="2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numFmtId="164" showAll="0">
      <items count="29">
        <item x="15"/>
        <item x="13"/>
        <item x="22"/>
        <item x="11"/>
        <item x="23"/>
        <item x="4"/>
        <item x="12"/>
        <item x="20"/>
        <item x="16"/>
        <item x="26"/>
        <item x="7"/>
        <item x="21"/>
        <item x="3"/>
        <item x="17"/>
        <item x="9"/>
        <item x="5"/>
        <item x="0"/>
        <item x="18"/>
        <item x="24"/>
        <item x="6"/>
        <item x="8"/>
        <item x="19"/>
        <item x="25"/>
        <item x="14"/>
        <item x="2"/>
        <item x="1"/>
        <item x="27"/>
        <item x="10"/>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v="44"/>
    </i>
    <i>
      <x v="25"/>
    </i>
    <i>
      <x v="24"/>
    </i>
    <i>
      <x v="1"/>
    </i>
    <i>
      <x v="31"/>
    </i>
    <i t="grand">
      <x/>
    </i>
  </rowItems>
  <colItems count="1">
    <i/>
  </colItems>
  <dataFields count="1">
    <dataField name=" Total Runs" fld="5" baseField="0" baseItem="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1"/>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4"/>
          </reference>
        </references>
      </pivotArea>
    </chartFormat>
    <chartFormat chart="0" format="4">
      <pivotArea type="data" outline="0" fieldPosition="0">
        <references count="2">
          <reference field="4294967294" count="1" selected="0">
            <x v="0"/>
          </reference>
          <reference field="0" count="1" selected="0">
            <x v="25"/>
          </reference>
        </references>
      </pivotArea>
    </chartFormat>
    <chartFormat chart="0" format="5">
      <pivotArea type="data" outline="0" fieldPosition="0">
        <references count="2">
          <reference field="4294967294" count="1" selected="0">
            <x v="0"/>
          </reference>
          <reference field="0" count="1" selected="0">
            <x v="44"/>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44"/>
          </reference>
        </references>
      </pivotArea>
    </chartFormat>
    <chartFormat chart="9" format="8">
      <pivotArea type="data" outline="0" fieldPosition="0">
        <references count="2">
          <reference field="4294967294" count="1" selected="0">
            <x v="0"/>
          </reference>
          <reference field="0" count="1" selected="0">
            <x v="25"/>
          </reference>
        </references>
      </pivotArea>
    </chartFormat>
    <chartFormat chart="9" format="9">
      <pivotArea type="data" outline="0" fieldPosition="0">
        <references count="2">
          <reference field="4294967294" count="1" selected="0">
            <x v="0"/>
          </reference>
          <reference field="0" count="1" selected="0">
            <x v="24"/>
          </reference>
        </references>
      </pivotArea>
    </chartFormat>
    <chartFormat chart="9" format="10">
      <pivotArea type="data" outline="0" fieldPosition="0">
        <references count="2">
          <reference field="4294967294" count="1" selected="0">
            <x v="0"/>
          </reference>
          <reference field="0" count="1" selected="0">
            <x v="1"/>
          </reference>
        </references>
      </pivotArea>
    </chartFormat>
    <chartFormat chart="9" format="11">
      <pivotArea type="data" outline="0" fieldPosition="0">
        <references count="2">
          <reference field="4294967294" count="1" selected="0">
            <x v="0"/>
          </reference>
          <reference field="0" count="1" selected="0">
            <x v="31"/>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0" count="1" selected="0">
            <x v="44"/>
          </reference>
        </references>
      </pivotArea>
    </chartFormat>
    <chartFormat chart="10" format="14">
      <pivotArea type="data" outline="0" fieldPosition="0">
        <references count="2">
          <reference field="4294967294" count="1" selected="0">
            <x v="0"/>
          </reference>
          <reference field="0" count="1" selected="0">
            <x v="25"/>
          </reference>
        </references>
      </pivotArea>
    </chartFormat>
    <chartFormat chart="10" format="15">
      <pivotArea type="data" outline="0" fieldPosition="0">
        <references count="2">
          <reference field="4294967294" count="1" selected="0">
            <x v="0"/>
          </reference>
          <reference field="0" count="1" selected="0">
            <x v="24"/>
          </reference>
        </references>
      </pivotArea>
    </chartFormat>
    <chartFormat chart="10" format="16">
      <pivotArea type="data" outline="0" fieldPosition="0">
        <references count="2">
          <reference field="4294967294" count="1" selected="0">
            <x v="0"/>
          </reference>
          <reference field="0" count="1" selected="0">
            <x v="1"/>
          </reference>
        </references>
      </pivotArea>
    </chartFormat>
    <chartFormat chart="10" format="17">
      <pivotArea type="data" outline="0" fieldPosition="0">
        <references count="2">
          <reference field="4294967294" count="1" selected="0">
            <x v="0"/>
          </reference>
          <reference field="0" count="1" selected="0">
            <x v="31"/>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0231D1-4302-4959-9084-4A605777E67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players">
  <location ref="J2:M10" firstHeaderRow="0" firstDataRow="1" firstDataCol="1"/>
  <pivotFields count="24">
    <pivotField axis="axisRow" showAll="0" measureFilter="1" sortType="descending">
      <items count="51">
        <item x="40"/>
        <item x="1"/>
        <item x="15"/>
        <item x="16"/>
        <item x="10"/>
        <item x="31"/>
        <item x="6"/>
        <item x="27"/>
        <item x="12"/>
        <item x="49"/>
        <item x="14"/>
        <item x="35"/>
        <item x="23"/>
        <item x="32"/>
        <item x="18"/>
        <item x="26"/>
        <item x="45"/>
        <item x="37"/>
        <item x="9"/>
        <item x="28"/>
        <item x="7"/>
        <item x="34"/>
        <item x="21"/>
        <item x="8"/>
        <item x="2"/>
        <item x="3"/>
        <item x="5"/>
        <item x="41"/>
        <item x="39"/>
        <item x="25"/>
        <item x="38"/>
        <item x="0"/>
        <item x="13"/>
        <item x="48"/>
        <item x="19"/>
        <item x="20"/>
        <item x="36"/>
        <item x="22"/>
        <item x="42"/>
        <item x="17"/>
        <item x="33"/>
        <item x="46"/>
        <item x="24"/>
        <item x="43"/>
        <item x="4"/>
        <item x="47"/>
        <item x="30"/>
        <item x="44"/>
        <item x="29"/>
        <item x="11"/>
        <item t="default"/>
      </items>
      <autoSortScope>
        <pivotArea dataOnly="0" outline="0" fieldPosition="0">
          <references count="1">
            <reference field="4294967294" count="1" selected="0">
              <x v="0"/>
            </reference>
          </references>
        </pivotArea>
      </autoSortScope>
    </pivotField>
    <pivotField showAll="0">
      <items count="9">
        <item x="3"/>
        <item x="1"/>
        <item x="2"/>
        <item x="4"/>
        <item x="6"/>
        <item x="0"/>
        <item x="7"/>
        <item x="5"/>
        <item t="default"/>
      </items>
    </pivotField>
    <pivotField showAll="0"/>
    <pivotField dataField="1" showAll="0"/>
    <pivotField showAll="0"/>
    <pivotField showAll="0"/>
    <pivotField showAll="0"/>
    <pivotField showAll="0"/>
    <pivotField showAll="0"/>
    <pivotField showAll="0"/>
    <pivotField showAll="0"/>
    <pivotField numFmtId="164" showAll="0">
      <items count="29">
        <item x="15"/>
        <item x="13"/>
        <item x="22"/>
        <item x="11"/>
        <item x="23"/>
        <item x="4"/>
        <item x="12"/>
        <item x="20"/>
        <item x="16"/>
        <item x="26"/>
        <item x="7"/>
        <item x="21"/>
        <item x="3"/>
        <item x="17"/>
        <item x="9"/>
        <item x="5"/>
        <item x="0"/>
        <item x="18"/>
        <item x="24"/>
        <item x="6"/>
        <item x="8"/>
        <item x="19"/>
        <item x="25"/>
        <item x="14"/>
        <item x="2"/>
        <item x="1"/>
        <item x="27"/>
        <item x="10"/>
        <item t="default"/>
      </items>
    </pivotField>
    <pivotField dataField="1" showAll="0"/>
    <pivotField dataField="1" showAll="0"/>
    <pivotField showAll="0"/>
    <pivotField showAll="0"/>
    <pivotField showAll="0">
      <items count="41">
        <item x="38"/>
        <item x="10"/>
        <item x="17"/>
        <item x="29"/>
        <item x="16"/>
        <item x="20"/>
        <item x="22"/>
        <item x="30"/>
        <item x="35"/>
        <item x="18"/>
        <item x="37"/>
        <item x="6"/>
        <item x="2"/>
        <item x="7"/>
        <item x="32"/>
        <item x="34"/>
        <item x="28"/>
        <item x="24"/>
        <item x="13"/>
        <item x="0"/>
        <item x="4"/>
        <item x="27"/>
        <item x="3"/>
        <item x="1"/>
        <item x="12"/>
        <item x="26"/>
        <item x="5"/>
        <item x="23"/>
        <item x="8"/>
        <item x="25"/>
        <item x="36"/>
        <item x="21"/>
        <item x="14"/>
        <item x="19"/>
        <item x="31"/>
        <item x="15"/>
        <item x="11"/>
        <item x="9"/>
        <item x="33"/>
        <item x="39"/>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8">
    <i>
      <x v="1"/>
    </i>
    <i>
      <x v="31"/>
    </i>
    <i>
      <x v="24"/>
    </i>
    <i>
      <x v="39"/>
    </i>
    <i>
      <x v="23"/>
    </i>
    <i>
      <x v="26"/>
    </i>
    <i>
      <x v="25"/>
    </i>
    <i t="grand">
      <x/>
    </i>
  </rowItems>
  <colFields count="1">
    <field x="-2"/>
  </colFields>
  <colItems count="3">
    <i>
      <x/>
    </i>
    <i i="1">
      <x v="1"/>
    </i>
    <i i="2">
      <x v="2"/>
    </i>
  </colItems>
  <dataFields count="3">
    <dataField name=" Innings" fld="3" baseField="0" baseItem="0"/>
    <dataField name=" 50's" fld="13" subtotal="average" baseField="0" baseItem="0" numFmtId="165"/>
    <dataField name=" 100's" fld="12" subtotal="average" baseField="0" baseItem="0"/>
  </dataFields>
  <chartFormats count="3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2"/>
          </reference>
          <reference field="0" count="1" selected="0">
            <x v="31"/>
          </reference>
        </references>
      </pivotArea>
    </chartFormat>
    <chartFormat chart="0" format="4">
      <pivotArea type="data" outline="0" fieldPosition="0">
        <references count="2">
          <reference field="4294967294" count="1" selected="0">
            <x v="2"/>
          </reference>
          <reference field="0" count="1" selected="0">
            <x v="1"/>
          </reference>
        </references>
      </pivotArea>
    </chartFormat>
    <chartFormat chart="0" format="5">
      <pivotArea type="data" outline="0" fieldPosition="0">
        <references count="2">
          <reference field="4294967294" count="1" selected="0">
            <x v="2"/>
          </reference>
          <reference field="0" count="1" selected="0">
            <x v="10"/>
          </reference>
        </references>
      </pivotArea>
    </chartFormat>
    <chartFormat chart="0" format="6">
      <pivotArea type="data" outline="0" fieldPosition="0">
        <references count="2">
          <reference field="4294967294" count="1" selected="0">
            <x v="2"/>
          </reference>
          <reference field="0" count="1" selected="0">
            <x v="2"/>
          </reference>
        </references>
      </pivotArea>
    </chartFormat>
    <chartFormat chart="0" format="7">
      <pivotArea type="data" outline="0" fieldPosition="0">
        <references count="2">
          <reference field="4294967294" count="1" selected="0">
            <x v="2"/>
          </reference>
          <reference field="0" count="1" selected="0">
            <x v="22"/>
          </reference>
        </references>
      </pivotArea>
    </chartFormat>
    <chartFormat chart="0" format="8">
      <pivotArea type="data" outline="0" fieldPosition="0">
        <references count="2">
          <reference field="4294967294" count="1" selected="0">
            <x v="2"/>
          </reference>
          <reference field="0" count="1" selected="0">
            <x v="15"/>
          </reference>
        </references>
      </pivotArea>
    </chartFormat>
    <chartFormat chart="0" format="9">
      <pivotArea type="data" outline="0" fieldPosition="0">
        <references count="2">
          <reference field="4294967294" count="1" selected="0">
            <x v="2"/>
          </reference>
          <reference field="0" count="1" selected="0">
            <x v="39"/>
          </reference>
        </references>
      </pivotArea>
    </chartFormat>
    <chartFormat chart="0" format="10">
      <pivotArea type="data" outline="0" fieldPosition="0">
        <references count="2">
          <reference field="4294967294" count="1" selected="0">
            <x v="2"/>
          </reference>
          <reference field="0" count="1" selected="0">
            <x v="18"/>
          </reference>
        </references>
      </pivotArea>
    </chartFormat>
    <chartFormat chart="0" format="11">
      <pivotArea type="data" outline="0" fieldPosition="0">
        <references count="2">
          <reference field="4294967294" count="1" selected="0">
            <x v="1"/>
          </reference>
          <reference field="0" count="1" selected="0">
            <x v="20"/>
          </reference>
        </references>
      </pivotArea>
    </chartFormat>
    <chartFormat chart="0" format="12">
      <pivotArea type="data" outline="0" fieldPosition="0">
        <references count="2">
          <reference field="4294967294" count="1" selected="0">
            <x v="0"/>
          </reference>
          <reference field="0" count="1" selected="0">
            <x v="18"/>
          </reference>
        </references>
      </pivotArea>
    </chartFormat>
    <chartFormat chart="0" format="13">
      <pivotArea type="data" outline="0" fieldPosition="0">
        <references count="2">
          <reference field="4294967294" count="1" selected="0">
            <x v="0"/>
          </reference>
          <reference field="0" count="1" selected="0">
            <x v="24"/>
          </reference>
        </references>
      </pivotArea>
    </chartFormat>
    <chartFormat chart="0" format="14">
      <pivotArea type="data" outline="0" fieldPosition="0">
        <references count="2">
          <reference field="4294967294" count="1" selected="0">
            <x v="0"/>
          </reference>
          <reference field="0" count="1" selected="0">
            <x v="1"/>
          </reference>
        </references>
      </pivotArea>
    </chartFormat>
    <chartFormat chart="0" format="15">
      <pivotArea type="data" outline="0" fieldPosition="0">
        <references count="2">
          <reference field="4294967294" count="1" selected="0">
            <x v="0"/>
          </reference>
          <reference field="0" count="1" selected="0">
            <x v="10"/>
          </reference>
        </references>
      </pivotArea>
    </chartFormat>
    <chartFormat chart="0" format="16">
      <pivotArea type="data" outline="0" fieldPosition="0">
        <references count="2">
          <reference field="4294967294" count="1" selected="0">
            <x v="0"/>
          </reference>
          <reference field="0" count="1" selected="0">
            <x v="31"/>
          </reference>
        </references>
      </pivotArea>
    </chartFormat>
    <chartFormat chart="0" format="17">
      <pivotArea type="data" outline="0" fieldPosition="0">
        <references count="2">
          <reference field="4294967294" count="1" selected="0">
            <x v="2"/>
          </reference>
          <reference field="0" count="1" selected="0">
            <x v="25"/>
          </reference>
        </references>
      </pivotArea>
    </chartFormat>
    <chartFormat chart="0" format="18">
      <pivotArea type="data" outline="0" fieldPosition="0">
        <references count="2">
          <reference field="4294967294" count="1" selected="0">
            <x v="2"/>
          </reference>
          <reference field="0" count="1" selected="0">
            <x v="23"/>
          </reference>
        </references>
      </pivotArea>
    </chartFormat>
    <chartFormat chart="0" format="19">
      <pivotArea type="data" outline="0" fieldPosition="0">
        <references count="2">
          <reference field="4294967294" count="1" selected="0">
            <x v="0"/>
          </reference>
          <reference field="0" count="1" selected="0">
            <x v="25"/>
          </reference>
        </references>
      </pivotArea>
    </chartFormat>
    <chartFormat chart="0" format="20">
      <pivotArea type="data" outline="0" fieldPosition="0">
        <references count="2">
          <reference field="4294967294" count="1" selected="0">
            <x v="0"/>
          </reference>
          <reference field="0" count="1" selected="0">
            <x v="26"/>
          </reference>
        </references>
      </pivotArea>
    </chartFormat>
    <chartFormat chart="0" format="21">
      <pivotArea type="data" outline="0" fieldPosition="0">
        <references count="2">
          <reference field="4294967294" count="1" selected="0">
            <x v="0"/>
          </reference>
          <reference field="0" count="1" selected="0">
            <x v="23"/>
          </reference>
        </references>
      </pivotArea>
    </chartFormat>
    <chartFormat chart="0" format="22">
      <pivotArea type="data" outline="0" fieldPosition="0">
        <references count="2">
          <reference field="4294967294" count="1" selected="0">
            <x v="0"/>
          </reference>
          <reference field="0" count="1" selected="0">
            <x v="39"/>
          </reference>
        </references>
      </pivotArea>
    </chartFormat>
    <chartFormat chart="24" format="36" series="1">
      <pivotArea type="data" outline="0" fieldPosition="0">
        <references count="1">
          <reference field="4294967294" count="1" selected="0">
            <x v="0"/>
          </reference>
        </references>
      </pivotArea>
    </chartFormat>
    <chartFormat chart="24" format="37">
      <pivotArea type="data" outline="0" fieldPosition="0">
        <references count="2">
          <reference field="4294967294" count="1" selected="0">
            <x v="0"/>
          </reference>
          <reference field="0" count="1" selected="0">
            <x v="24"/>
          </reference>
        </references>
      </pivotArea>
    </chartFormat>
    <chartFormat chart="24" format="38">
      <pivotArea type="data" outline="0" fieldPosition="0">
        <references count="2">
          <reference field="4294967294" count="1" selected="0">
            <x v="0"/>
          </reference>
          <reference field="0" count="1" selected="0">
            <x v="39"/>
          </reference>
        </references>
      </pivotArea>
    </chartFormat>
    <chartFormat chart="24" format="39">
      <pivotArea type="data" outline="0" fieldPosition="0">
        <references count="2">
          <reference field="4294967294" count="1" selected="0">
            <x v="0"/>
          </reference>
          <reference field="0" count="1" selected="0">
            <x v="23"/>
          </reference>
        </references>
      </pivotArea>
    </chartFormat>
    <chartFormat chart="24" format="40">
      <pivotArea type="data" outline="0" fieldPosition="0">
        <references count="2">
          <reference field="4294967294" count="1" selected="0">
            <x v="0"/>
          </reference>
          <reference field="0" count="1" selected="0">
            <x v="26"/>
          </reference>
        </references>
      </pivotArea>
    </chartFormat>
    <chartFormat chart="24" format="41">
      <pivotArea type="data" outline="0" fieldPosition="0">
        <references count="2">
          <reference field="4294967294" count="1" selected="0">
            <x v="0"/>
          </reference>
          <reference field="0" count="1" selected="0">
            <x v="25"/>
          </reference>
        </references>
      </pivotArea>
    </chartFormat>
    <chartFormat chart="24" format="42" series="1">
      <pivotArea type="data" outline="0" fieldPosition="0">
        <references count="1">
          <reference field="4294967294" count="1" selected="0">
            <x v="1"/>
          </reference>
        </references>
      </pivotArea>
    </chartFormat>
    <chartFormat chart="24" format="43" series="1">
      <pivotArea type="data" outline="0" fieldPosition="0">
        <references count="1">
          <reference field="4294967294" count="1" selected="0">
            <x v="2"/>
          </reference>
        </references>
      </pivotArea>
    </chartFormat>
    <chartFormat chart="24" format="44">
      <pivotArea type="data" outline="0" fieldPosition="0">
        <references count="2">
          <reference field="4294967294" count="1" selected="0">
            <x v="2"/>
          </reference>
          <reference field="0" count="1" selected="0">
            <x v="1"/>
          </reference>
        </references>
      </pivotArea>
    </chartFormat>
    <chartFormat chart="24" format="45">
      <pivotArea type="data" outline="0" fieldPosition="0">
        <references count="2">
          <reference field="4294967294" count="1" selected="0">
            <x v="2"/>
          </reference>
          <reference field="0" count="1" selected="0">
            <x v="31"/>
          </reference>
        </references>
      </pivotArea>
    </chartFormat>
    <chartFormat chart="24" format="46">
      <pivotArea type="data" outline="0" fieldPosition="0">
        <references count="2">
          <reference field="4294967294" count="1" selected="0">
            <x v="2"/>
          </reference>
          <reference field="0" count="1" selected="0">
            <x v="39"/>
          </reference>
        </references>
      </pivotArea>
    </chartFormat>
    <chartFormat chart="24" format="47">
      <pivotArea type="data" outline="0" fieldPosition="0">
        <references count="2">
          <reference field="4294967294" count="1" selected="0">
            <x v="2"/>
          </reference>
          <reference field="0" count="1" selected="0">
            <x v="23"/>
          </reference>
        </references>
      </pivotArea>
    </chartFormat>
    <chartFormat chart="24" format="48">
      <pivotArea type="data" outline="0" fieldPosition="0">
        <references count="2">
          <reference field="4294967294" count="1" selected="0">
            <x v="2"/>
          </reference>
          <reference field="0" count="1" selected="0">
            <x v="25"/>
          </reference>
        </references>
      </pivotArea>
    </chartFormat>
  </chartFormats>
  <pivotTableStyleInfo name="PivotStyleLight16" showRowHeaders="1" showColHeaders="1" showRowStripes="0" showColStripes="0" showLastColumn="1"/>
  <filters count="1">
    <filter fld="0" type="count" evalOrder="-1" id="3"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6B6198-1C40-43B6-A6BE-DC426699B5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layers">
  <location ref="B1:D7" firstHeaderRow="0" firstDataRow="1" firstDataCol="1"/>
  <pivotFields count="24">
    <pivotField axis="axisRow" showAll="0" measureFilter="1" sortType="ascending">
      <items count="51">
        <item x="40"/>
        <item x="1"/>
        <item x="15"/>
        <item x="16"/>
        <item x="10"/>
        <item x="31"/>
        <item x="6"/>
        <item x="27"/>
        <item x="12"/>
        <item x="49"/>
        <item x="14"/>
        <item x="35"/>
        <item x="23"/>
        <item x="32"/>
        <item x="18"/>
        <item x="26"/>
        <item x="45"/>
        <item x="37"/>
        <item x="9"/>
        <item x="28"/>
        <item x="7"/>
        <item x="34"/>
        <item x="21"/>
        <item x="8"/>
        <item x="2"/>
        <item x="3"/>
        <item x="5"/>
        <item x="41"/>
        <item x="39"/>
        <item x="25"/>
        <item x="38"/>
        <item x="0"/>
        <item x="13"/>
        <item x="48"/>
        <item x="19"/>
        <item x="20"/>
        <item x="36"/>
        <item x="22"/>
        <item x="42"/>
        <item x="17"/>
        <item x="33"/>
        <item x="46"/>
        <item x="24"/>
        <item x="43"/>
        <item x="4"/>
        <item x="47"/>
        <item x="30"/>
        <item x="44"/>
        <item x="2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dataField="1" showAll="0"/>
    <pivotField showAll="0"/>
    <pivotField showAll="0"/>
    <pivotField numFmtId="164" showAll="0">
      <items count="29">
        <item x="15"/>
        <item x="13"/>
        <item x="22"/>
        <item x="11"/>
        <item x="23"/>
        <item x="4"/>
        <item x="12"/>
        <item x="20"/>
        <item x="16"/>
        <item x="26"/>
        <item x="7"/>
        <item x="21"/>
        <item x="3"/>
        <item x="17"/>
        <item x="9"/>
        <item x="5"/>
        <item x="0"/>
        <item x="18"/>
        <item x="24"/>
        <item x="6"/>
        <item x="8"/>
        <item x="19"/>
        <item x="25"/>
        <item x="14"/>
        <item x="2"/>
        <item x="1"/>
        <item x="27"/>
        <item x="10"/>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v="28"/>
    </i>
    <i>
      <x v="25"/>
    </i>
    <i>
      <x v="31"/>
    </i>
    <i>
      <x v="30"/>
    </i>
    <i>
      <x v="34"/>
    </i>
    <i t="grand">
      <x/>
    </i>
  </rowItems>
  <colFields count="1">
    <field x="-2"/>
  </colFields>
  <colItems count="2">
    <i>
      <x/>
    </i>
    <i i="1">
      <x v="1"/>
    </i>
  </colItems>
  <dataFields count="2">
    <dataField name=" Strike Rate" fld="7" baseField="0" baseItem="0" numFmtId="1"/>
    <dataField name=" Batting Average" fld="8" subtotal="average" baseField="0" baseItem="0" numFmtId="165"/>
  </dataFields>
  <chartFormats count="1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34"/>
          </reference>
        </references>
      </pivotArea>
    </chartFormat>
    <chartFormat chart="0" format="3">
      <pivotArea type="data" outline="0" fieldPosition="0">
        <references count="2">
          <reference field="4294967294" count="1" selected="0">
            <x v="0"/>
          </reference>
          <reference field="0" count="1" selected="0">
            <x v="31"/>
          </reference>
        </references>
      </pivotArea>
    </chartFormat>
    <chartFormat chart="0" format="4">
      <pivotArea type="data" outline="0" fieldPosition="0">
        <references count="2">
          <reference field="4294967294" count="1" selected="0">
            <x v="0"/>
          </reference>
          <reference field="0" count="1" selected="0">
            <x v="25"/>
          </reference>
        </references>
      </pivotArea>
    </chartFormat>
    <chartFormat chart="0" format="5">
      <pivotArea type="data" outline="0" fieldPosition="0">
        <references count="2">
          <reference field="4294967294" count="1" selected="0">
            <x v="0"/>
          </reference>
          <reference field="0" count="1" selected="0">
            <x v="28"/>
          </reference>
        </references>
      </pivotArea>
    </chartFormat>
    <chartFormat chart="0" format="6">
      <pivotArea type="data" outline="0" fieldPosition="0">
        <references count="2">
          <reference field="4294967294" count="1" selected="0">
            <x v="1"/>
          </reference>
          <reference field="0" count="1" selected="0">
            <x v="28"/>
          </reference>
        </references>
      </pivotArea>
    </chartFormat>
    <chartFormat chart="0" format="7">
      <pivotArea type="data" outline="0" fieldPosition="0">
        <references count="2">
          <reference field="4294967294" count="1" selected="0">
            <x v="1"/>
          </reference>
          <reference field="0" count="1" selected="0">
            <x v="25"/>
          </reference>
        </references>
      </pivotArea>
    </chartFormat>
    <chartFormat chart="0" format="8">
      <pivotArea type="data" outline="0" fieldPosition="0">
        <references count="2">
          <reference field="4294967294" count="1" selected="0">
            <x v="1"/>
          </reference>
          <reference field="0" count="1" selected="0">
            <x v="31"/>
          </reference>
        </references>
      </pivotArea>
    </chartFormat>
    <chartFormat chart="0" format="9">
      <pivotArea type="data" outline="0" fieldPosition="0">
        <references count="2">
          <reference field="4294967294" count="1" selected="0">
            <x v="1"/>
          </reference>
          <reference field="0" count="1" selected="0">
            <x v="30"/>
          </reference>
        </references>
      </pivotArea>
    </chartFormat>
    <chartFormat chart="0" format="10">
      <pivotArea type="data" outline="0" fieldPosition="0">
        <references count="2">
          <reference field="4294967294" count="1" selected="0">
            <x v="1"/>
          </reference>
          <reference field="0" count="1" selected="0">
            <x v="34"/>
          </reference>
        </references>
      </pivotArea>
    </chartFormat>
    <chartFormat chart="0" format="11">
      <pivotArea type="data" outline="0" fieldPosition="0">
        <references count="2">
          <reference field="4294967294" count="1" selected="0">
            <x v="0"/>
          </reference>
          <reference field="0" count="1" selected="0">
            <x v="30"/>
          </reference>
        </references>
      </pivotArea>
    </chartFormat>
    <chartFormat chart="9" format="19" series="1">
      <pivotArea type="data" outline="0" fieldPosition="0">
        <references count="1">
          <reference field="4294967294" count="1" selected="0">
            <x v="0"/>
          </reference>
        </references>
      </pivotArea>
    </chartFormat>
    <chartFormat chart="9" format="20">
      <pivotArea type="data" outline="0" fieldPosition="0">
        <references count="2">
          <reference field="4294967294" count="1" selected="0">
            <x v="0"/>
          </reference>
          <reference field="0" count="1" selected="0">
            <x v="28"/>
          </reference>
        </references>
      </pivotArea>
    </chartFormat>
    <chartFormat chart="9" format="21">
      <pivotArea type="data" outline="0" fieldPosition="0">
        <references count="2">
          <reference field="4294967294" count="1" selected="0">
            <x v="0"/>
          </reference>
          <reference field="0" count="1" selected="0">
            <x v="25"/>
          </reference>
        </references>
      </pivotArea>
    </chartFormat>
    <chartFormat chart="9" format="22">
      <pivotArea type="data" outline="0" fieldPosition="0">
        <references count="2">
          <reference field="4294967294" count="1" selected="0">
            <x v="0"/>
          </reference>
          <reference field="0" count="1" selected="0">
            <x v="31"/>
          </reference>
        </references>
      </pivotArea>
    </chartFormat>
    <chartFormat chart="9" format="23">
      <pivotArea type="data" outline="0" fieldPosition="0">
        <references count="2">
          <reference field="4294967294" count="1" selected="0">
            <x v="0"/>
          </reference>
          <reference field="0" count="1" selected="0">
            <x v="30"/>
          </reference>
        </references>
      </pivotArea>
    </chartFormat>
    <chartFormat chart="9" format="24">
      <pivotArea type="data" outline="0" fieldPosition="0">
        <references count="2">
          <reference field="4294967294" count="1" selected="0">
            <x v="0"/>
          </reference>
          <reference field="0" count="1" selected="0">
            <x v="34"/>
          </reference>
        </references>
      </pivotArea>
    </chartFormat>
    <chartFormat chart="9" format="2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2"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56171E-17BF-4205-85DB-30496A3F267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Teams">
  <location ref="M2:N8" firstHeaderRow="1" firstDataRow="1" firstDataCol="1"/>
  <pivotFields count="24">
    <pivotField showAll="0">
      <items count="51">
        <item x="40"/>
        <item x="1"/>
        <item x="15"/>
        <item x="16"/>
        <item x="10"/>
        <item x="31"/>
        <item x="6"/>
        <item x="27"/>
        <item x="12"/>
        <item x="49"/>
        <item x="14"/>
        <item x="35"/>
        <item x="23"/>
        <item x="32"/>
        <item x="18"/>
        <item x="26"/>
        <item x="45"/>
        <item x="37"/>
        <item x="9"/>
        <item x="28"/>
        <item x="7"/>
        <item x="34"/>
        <item x="21"/>
        <item x="8"/>
        <item x="2"/>
        <item x="3"/>
        <item x="5"/>
        <item x="41"/>
        <item x="39"/>
        <item x="25"/>
        <item x="38"/>
        <item x="0"/>
        <item x="13"/>
        <item x="48"/>
        <item x="19"/>
        <item x="20"/>
        <item x="36"/>
        <item x="22"/>
        <item x="42"/>
        <item x="17"/>
        <item x="33"/>
        <item x="46"/>
        <item x="24"/>
        <item x="43"/>
        <item x="4"/>
        <item x="47"/>
        <item x="30"/>
        <item x="44"/>
        <item x="29"/>
        <item x="11"/>
        <item t="default"/>
      </items>
    </pivotField>
    <pivotField axis="axisRow" showAll="0" measureFilter="1" sortType="ascending">
      <items count="9">
        <item x="3"/>
        <item x="1"/>
        <item x="2"/>
        <item x="4"/>
        <item x="6"/>
        <item x="0"/>
        <item x="7"/>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numFmtId="164" showAll="0">
      <items count="29">
        <item x="15"/>
        <item x="13"/>
        <item x="22"/>
        <item x="11"/>
        <item x="23"/>
        <item x="4"/>
        <item x="12"/>
        <item x="20"/>
        <item x="16"/>
        <item x="26"/>
        <item x="7"/>
        <item x="21"/>
        <item x="3"/>
        <item x="17"/>
        <item x="9"/>
        <item x="5"/>
        <item x="0"/>
        <item x="18"/>
        <item x="24"/>
        <item x="6"/>
        <item x="8"/>
        <item x="19"/>
        <item x="25"/>
        <item x="14"/>
        <item x="2"/>
        <item x="1"/>
        <item x="27"/>
        <item x="10"/>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v="1"/>
    </i>
    <i>
      <x v="3"/>
    </i>
    <i>
      <x v="5"/>
    </i>
    <i>
      <x v="2"/>
    </i>
    <i>
      <x v="6"/>
    </i>
    <i t="grand">
      <x/>
    </i>
  </rowItems>
  <colItems count="1">
    <i/>
  </colItems>
  <dataFields count="1">
    <dataField name=" Strike Rate" fld="7" subtotal="average" baseField="1" baseItem="5" numFmtId="165"/>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6"/>
          </reference>
        </references>
      </pivotArea>
    </chartFormat>
    <chartFormat chart="0" format="2">
      <pivotArea type="data" outline="0" fieldPosition="0">
        <references count="2">
          <reference field="4294967294" count="1" selected="0">
            <x v="0"/>
          </reference>
          <reference field="1" count="1" selected="0">
            <x v="3"/>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0" format="5">
      <pivotArea type="data" outline="0" fieldPosition="0">
        <references count="2">
          <reference field="4294967294" count="1" selected="0">
            <x v="0"/>
          </reference>
          <reference field="1" count="1" selected="0">
            <x v="5"/>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1" count="1" selected="0">
            <x v="1"/>
          </reference>
        </references>
      </pivotArea>
    </chartFormat>
    <chartFormat chart="16" format="14">
      <pivotArea type="data" outline="0" fieldPosition="0">
        <references count="2">
          <reference field="4294967294" count="1" selected="0">
            <x v="0"/>
          </reference>
          <reference field="1" count="1" selected="0">
            <x v="3"/>
          </reference>
        </references>
      </pivotArea>
    </chartFormat>
    <chartFormat chart="16" format="15">
      <pivotArea type="data" outline="0" fieldPosition="0">
        <references count="2">
          <reference field="4294967294" count="1" selected="0">
            <x v="0"/>
          </reference>
          <reference field="1" count="1" selected="0">
            <x v="5"/>
          </reference>
        </references>
      </pivotArea>
    </chartFormat>
    <chartFormat chart="16" format="16">
      <pivotArea type="data" outline="0" fieldPosition="0">
        <references count="2">
          <reference field="4294967294" count="1" selected="0">
            <x v="0"/>
          </reference>
          <reference field="1" count="1" selected="0">
            <x v="2"/>
          </reference>
        </references>
      </pivotArea>
    </chartFormat>
    <chartFormat chart="16" format="17">
      <pivotArea type="data" outline="0" fieldPosition="0">
        <references count="2">
          <reference field="4294967294" count="1" selected="0">
            <x v="0"/>
          </reference>
          <reference field="1" count="1" selected="0">
            <x v="6"/>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1" count="1" selected="0">
            <x v="1"/>
          </reference>
        </references>
      </pivotArea>
    </chartFormat>
    <chartFormat chart="20" format="8">
      <pivotArea type="data" outline="0" fieldPosition="0">
        <references count="2">
          <reference field="4294967294" count="1" selected="0">
            <x v="0"/>
          </reference>
          <reference field="1" count="1" selected="0">
            <x v="3"/>
          </reference>
        </references>
      </pivotArea>
    </chartFormat>
    <chartFormat chart="20" format="9">
      <pivotArea type="data" outline="0" fieldPosition="0">
        <references count="2">
          <reference field="4294967294" count="1" selected="0">
            <x v="0"/>
          </reference>
          <reference field="1" count="1" selected="0">
            <x v="5"/>
          </reference>
        </references>
      </pivotArea>
    </chartFormat>
    <chartFormat chart="20" format="10">
      <pivotArea type="data" outline="0" fieldPosition="0">
        <references count="2">
          <reference field="4294967294" count="1" selected="0">
            <x v="0"/>
          </reference>
          <reference field="1" count="1" selected="0">
            <x v="2"/>
          </reference>
        </references>
      </pivotArea>
    </chartFormat>
    <chartFormat chart="20" format="11">
      <pivotArea type="data" outline="0" fieldPosition="0">
        <references count="2">
          <reference field="4294967294" count="1" selected="0">
            <x v="0"/>
          </reference>
          <reference field="1" count="1" selected="0">
            <x v="6"/>
          </reference>
        </references>
      </pivotArea>
    </chartFormat>
    <chartFormat chart="21" format="12" series="1">
      <pivotArea type="data" outline="0" fieldPosition="0">
        <references count="1">
          <reference field="4294967294" count="1" selected="0">
            <x v="0"/>
          </reference>
        </references>
      </pivotArea>
    </chartFormat>
    <chartFormat chart="21" format="13">
      <pivotArea type="data" outline="0" fieldPosition="0">
        <references count="2">
          <reference field="4294967294" count="1" selected="0">
            <x v="0"/>
          </reference>
          <reference field="1" count="1" selected="0">
            <x v="1"/>
          </reference>
        </references>
      </pivotArea>
    </chartFormat>
    <chartFormat chart="21" format="14">
      <pivotArea type="data" outline="0" fieldPosition="0">
        <references count="2">
          <reference field="4294967294" count="1" selected="0">
            <x v="0"/>
          </reference>
          <reference field="1" count="1" selected="0">
            <x v="3"/>
          </reference>
        </references>
      </pivotArea>
    </chartFormat>
    <chartFormat chart="21" format="15">
      <pivotArea type="data" outline="0" fieldPosition="0">
        <references count="2">
          <reference field="4294967294" count="1" selected="0">
            <x v="0"/>
          </reference>
          <reference field="1" count="1" selected="0">
            <x v="5"/>
          </reference>
        </references>
      </pivotArea>
    </chartFormat>
    <chartFormat chart="21" format="16">
      <pivotArea type="data" outline="0" fieldPosition="0">
        <references count="2">
          <reference field="4294967294" count="1" selected="0">
            <x v="0"/>
          </reference>
          <reference field="1" count="1" selected="0">
            <x v="2"/>
          </reference>
        </references>
      </pivotArea>
    </chartFormat>
    <chartFormat chart="21" format="17">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6BCEE3-942D-4337-BAC6-C10930E04CC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Team wise players">
  <location ref="I2:J18" firstHeaderRow="1" firstDataRow="1" firstDataCol="1"/>
  <pivotFields count="24">
    <pivotField axis="axisRow" showAll="0" measureFilter="1" sortType="ascending">
      <items count="51">
        <item x="40"/>
        <item x="1"/>
        <item x="15"/>
        <item x="16"/>
        <item x="10"/>
        <item x="31"/>
        <item x="6"/>
        <item x="27"/>
        <item x="12"/>
        <item x="49"/>
        <item x="14"/>
        <item x="35"/>
        <item x="23"/>
        <item x="32"/>
        <item x="18"/>
        <item x="26"/>
        <item x="45"/>
        <item x="37"/>
        <item x="9"/>
        <item x="28"/>
        <item x="7"/>
        <item x="34"/>
        <item x="21"/>
        <item x="8"/>
        <item x="2"/>
        <item x="3"/>
        <item x="5"/>
        <item x="41"/>
        <item x="39"/>
        <item x="25"/>
        <item x="38"/>
        <item x="0"/>
        <item x="13"/>
        <item x="48"/>
        <item x="19"/>
        <item x="20"/>
        <item x="36"/>
        <item x="22"/>
        <item x="42"/>
        <item x="17"/>
        <item x="33"/>
        <item x="46"/>
        <item x="24"/>
        <item x="43"/>
        <item x="4"/>
        <item x="47"/>
        <item x="30"/>
        <item x="44"/>
        <item x="29"/>
        <item x="11"/>
        <item t="default"/>
      </items>
      <autoSortScope>
        <pivotArea dataOnly="0" outline="0" fieldPosition="0">
          <references count="1">
            <reference field="4294967294" count="1" selected="0">
              <x v="0"/>
            </reference>
          </references>
        </pivotArea>
      </autoSortScope>
    </pivotField>
    <pivotField axis="axisRow" showAll="0" measureFilter="1" sortType="ascending">
      <items count="9">
        <item x="3"/>
        <item x="1"/>
        <item x="2"/>
        <item x="4"/>
        <item sd="0" x="6"/>
        <item x="0"/>
        <item sd="0" x="7"/>
        <item sd="0"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numFmtId="164" showAll="0">
      <items count="29">
        <item x="15"/>
        <item x="13"/>
        <item x="22"/>
        <item x="11"/>
        <item x="23"/>
        <item x="4"/>
        <item x="12"/>
        <item x="20"/>
        <item x="16"/>
        <item x="26"/>
        <item x="7"/>
        <item x="21"/>
        <item x="3"/>
        <item x="17"/>
        <item x="9"/>
        <item x="5"/>
        <item x="0"/>
        <item x="18"/>
        <item x="24"/>
        <item x="6"/>
        <item x="8"/>
        <item x="19"/>
        <item x="25"/>
        <item x="14"/>
        <item x="2"/>
        <item x="1"/>
        <item x="27"/>
        <item x="10"/>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
    <field x="0"/>
  </rowFields>
  <rowItems count="16">
    <i>
      <x v="3"/>
    </i>
    <i r="1">
      <x v="14"/>
    </i>
    <i r="1">
      <x v="26"/>
    </i>
    <i>
      <x v="2"/>
    </i>
    <i r="1">
      <x v="37"/>
    </i>
    <i r="1">
      <x v="24"/>
    </i>
    <i>
      <x/>
    </i>
    <i r="1">
      <x v="20"/>
    </i>
    <i r="1">
      <x v="44"/>
    </i>
    <i>
      <x v="1"/>
    </i>
    <i r="1">
      <x v="25"/>
    </i>
    <i r="1">
      <x v="1"/>
    </i>
    <i>
      <x v="5"/>
    </i>
    <i r="1">
      <x v="4"/>
    </i>
    <i r="1">
      <x v="31"/>
    </i>
    <i t="grand">
      <x/>
    </i>
  </rowItems>
  <colItems count="1">
    <i/>
  </colItems>
  <dataFields count="1">
    <dataField name=" Total Runs" fld="5" baseField="0" baseItem="0"/>
  </dataFields>
  <chartFormats count="18">
    <chartFormat chart="15" format="0" series="1">
      <pivotArea type="data" outline="0" fieldPosition="0">
        <references count="1">
          <reference field="4294967294" count="1" selected="0">
            <x v="0"/>
          </reference>
        </references>
      </pivotArea>
    </chartFormat>
    <chartFormat chart="15" format="1">
      <pivotArea type="data" outline="0" fieldPosition="0">
        <references count="3">
          <reference field="4294967294" count="1" selected="0">
            <x v="0"/>
          </reference>
          <reference field="0" count="1" selected="0">
            <x v="1"/>
          </reference>
          <reference field="1" count="1" selected="0">
            <x v="1"/>
          </reference>
        </references>
      </pivotArea>
    </chartFormat>
    <chartFormat chart="15" format="2">
      <pivotArea type="data" outline="0" fieldPosition="0">
        <references count="3">
          <reference field="4294967294" count="1" selected="0">
            <x v="0"/>
          </reference>
          <reference field="0" count="1" selected="0">
            <x v="25"/>
          </reference>
          <reference field="1" count="1" selected="0">
            <x v="1"/>
          </reference>
        </references>
      </pivotArea>
    </chartFormat>
    <chartFormat chart="15" format="3">
      <pivotArea type="data" outline="0" fieldPosition="0">
        <references count="3">
          <reference field="4294967294" count="1" selected="0">
            <x v="0"/>
          </reference>
          <reference field="0" count="1" selected="0">
            <x v="44"/>
          </reference>
          <reference field="1" count="1" selected="0">
            <x v="0"/>
          </reference>
        </references>
      </pivotArea>
    </chartFormat>
    <chartFormat chart="15" format="4">
      <pivotArea type="data" outline="0" fieldPosition="0">
        <references count="3">
          <reference field="4294967294" count="1" selected="0">
            <x v="0"/>
          </reference>
          <reference field="0" count="1" selected="0">
            <x v="20"/>
          </reference>
          <reference field="1" count="1" selected="0">
            <x v="0"/>
          </reference>
        </references>
      </pivotArea>
    </chartFormat>
    <chartFormat chart="15" format="5">
      <pivotArea type="data" outline="0" fieldPosition="0">
        <references count="3">
          <reference field="4294967294" count="1" selected="0">
            <x v="0"/>
          </reference>
          <reference field="0" count="1" selected="0">
            <x v="24"/>
          </reference>
          <reference field="1" count="1" selected="0">
            <x v="2"/>
          </reference>
        </references>
      </pivotArea>
    </chartFormat>
    <chartFormat chart="15" format="6">
      <pivotArea type="data" outline="0" fieldPosition="0">
        <references count="3">
          <reference field="4294967294" count="1" selected="0">
            <x v="0"/>
          </reference>
          <reference field="0" count="1" selected="0">
            <x v="37"/>
          </reference>
          <reference field="1" count="1" selected="0">
            <x v="2"/>
          </reference>
        </references>
      </pivotArea>
    </chartFormat>
    <chartFormat chart="15" format="7">
      <pivotArea type="data" outline="0" fieldPosition="0">
        <references count="3">
          <reference field="4294967294" count="1" selected="0">
            <x v="0"/>
          </reference>
          <reference field="0" count="1" selected="0">
            <x v="26"/>
          </reference>
          <reference field="1" count="1" selected="0">
            <x v="3"/>
          </reference>
        </references>
      </pivotArea>
    </chartFormat>
    <chartFormat chart="15" format="8">
      <pivotArea type="data" outline="0" fieldPosition="0">
        <references count="3">
          <reference field="4294967294" count="1" selected="0">
            <x v="0"/>
          </reference>
          <reference field="0" count="1" selected="0">
            <x v="14"/>
          </reference>
          <reference field="1" count="1" selected="0">
            <x v="3"/>
          </reference>
        </references>
      </pivotArea>
    </chartFormat>
    <chartFormat chart="19" format="18" series="1">
      <pivotArea type="data" outline="0" fieldPosition="0">
        <references count="1">
          <reference field="4294967294" count="1" selected="0">
            <x v="0"/>
          </reference>
        </references>
      </pivotArea>
    </chartFormat>
    <chartFormat chart="19" format="19">
      <pivotArea type="data" outline="0" fieldPosition="0">
        <references count="3">
          <reference field="4294967294" count="1" selected="0">
            <x v="0"/>
          </reference>
          <reference field="0" count="1" selected="0">
            <x v="14"/>
          </reference>
          <reference field="1" count="1" selected="0">
            <x v="3"/>
          </reference>
        </references>
      </pivotArea>
    </chartFormat>
    <chartFormat chart="19" format="20">
      <pivotArea type="data" outline="0" fieldPosition="0">
        <references count="3">
          <reference field="4294967294" count="1" selected="0">
            <x v="0"/>
          </reference>
          <reference field="0" count="1" selected="0">
            <x v="26"/>
          </reference>
          <reference field="1" count="1" selected="0">
            <x v="3"/>
          </reference>
        </references>
      </pivotArea>
    </chartFormat>
    <chartFormat chart="19" format="21">
      <pivotArea type="data" outline="0" fieldPosition="0">
        <references count="3">
          <reference field="4294967294" count="1" selected="0">
            <x v="0"/>
          </reference>
          <reference field="0" count="1" selected="0">
            <x v="37"/>
          </reference>
          <reference field="1" count="1" selected="0">
            <x v="2"/>
          </reference>
        </references>
      </pivotArea>
    </chartFormat>
    <chartFormat chart="19" format="22">
      <pivotArea type="data" outline="0" fieldPosition="0">
        <references count="3">
          <reference field="4294967294" count="1" selected="0">
            <x v="0"/>
          </reference>
          <reference field="0" count="1" selected="0">
            <x v="24"/>
          </reference>
          <reference field="1" count="1" selected="0">
            <x v="2"/>
          </reference>
        </references>
      </pivotArea>
    </chartFormat>
    <chartFormat chart="19" format="23">
      <pivotArea type="data" outline="0" fieldPosition="0">
        <references count="3">
          <reference field="4294967294" count="1" selected="0">
            <x v="0"/>
          </reference>
          <reference field="0" count="1" selected="0">
            <x v="20"/>
          </reference>
          <reference field="1" count="1" selected="0">
            <x v="0"/>
          </reference>
        </references>
      </pivotArea>
    </chartFormat>
    <chartFormat chart="19" format="24">
      <pivotArea type="data" outline="0" fieldPosition="0">
        <references count="3">
          <reference field="4294967294" count="1" selected="0">
            <x v="0"/>
          </reference>
          <reference field="0" count="1" selected="0">
            <x v="44"/>
          </reference>
          <reference field="1" count="1" selected="0">
            <x v="0"/>
          </reference>
        </references>
      </pivotArea>
    </chartFormat>
    <chartFormat chart="19" format="25">
      <pivotArea type="data" outline="0" fieldPosition="0">
        <references count="3">
          <reference field="4294967294" count="1" selected="0">
            <x v="0"/>
          </reference>
          <reference field="0" count="1" selected="0">
            <x v="25"/>
          </reference>
          <reference field="1" count="1" selected="0">
            <x v="1"/>
          </reference>
        </references>
      </pivotArea>
    </chartFormat>
    <chartFormat chart="19" format="26">
      <pivotArea type="data" outline="0" fieldPosition="0">
        <references count="3">
          <reference field="4294967294" count="1" selected="0">
            <x v="0"/>
          </reference>
          <reference field="0" count="1" selected="0">
            <x v="1"/>
          </reference>
          <reference field="1" count="1" selected="0">
            <x v="1"/>
          </reference>
        </references>
      </pivotArea>
    </chartFormat>
  </chartFormats>
  <pivotTableStyleInfo name="PivotStyleLight16" showRowHeaders="1" showColHeaders="1" showRowStripes="0" showColStripes="0" showLastColumn="1"/>
  <filters count="2">
    <filter fld="0" type="count" evalOrder="-1" id="2" iMeasureFld="0">
      <autoFilter ref="A1">
        <filterColumn colId="0">
          <top10 val="2" filterVal="2"/>
        </filterColumn>
      </autoFilter>
    </filter>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1831F1-6B79-4A6B-BDF8-82A37D2897A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eam">
  <location ref="J2:K9" firstHeaderRow="1" firstDataRow="1" firstDataCol="1"/>
  <pivotFields count="24">
    <pivotField showAll="0">
      <items count="51">
        <item x="40"/>
        <item x="1"/>
        <item x="15"/>
        <item x="16"/>
        <item x="10"/>
        <item x="31"/>
        <item x="6"/>
        <item x="27"/>
        <item x="12"/>
        <item x="49"/>
        <item x="14"/>
        <item x="35"/>
        <item x="23"/>
        <item x="32"/>
        <item x="18"/>
        <item x="26"/>
        <item x="45"/>
        <item x="37"/>
        <item x="9"/>
        <item x="28"/>
        <item x="7"/>
        <item x="34"/>
        <item x="21"/>
        <item x="8"/>
        <item x="2"/>
        <item x="3"/>
        <item x="5"/>
        <item x="41"/>
        <item x="39"/>
        <item x="25"/>
        <item x="38"/>
        <item x="0"/>
        <item x="13"/>
        <item x="48"/>
        <item x="19"/>
        <item x="20"/>
        <item x="36"/>
        <item x="22"/>
        <item x="42"/>
        <item x="17"/>
        <item x="33"/>
        <item x="46"/>
        <item x="24"/>
        <item x="43"/>
        <item x="4"/>
        <item x="47"/>
        <item x="30"/>
        <item x="44"/>
        <item x="29"/>
        <item x="11"/>
        <item t="default"/>
      </items>
    </pivotField>
    <pivotField axis="axisRow" showAll="0" measureFilter="1" sortType="descending">
      <items count="9">
        <item x="3"/>
        <item x="1"/>
        <item x="2"/>
        <item x="4"/>
        <item x="6"/>
        <item x="0"/>
        <item x="7"/>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numFmtId="164" showAll="0">
      <items count="29">
        <item x="15"/>
        <item x="13"/>
        <item x="22"/>
        <item x="11"/>
        <item x="23"/>
        <item x="4"/>
        <item x="12"/>
        <item x="20"/>
        <item x="16"/>
        <item x="26"/>
        <item x="7"/>
        <item x="21"/>
        <item x="3"/>
        <item x="17"/>
        <item x="9"/>
        <item x="5"/>
        <item x="0"/>
        <item x="18"/>
        <item x="24"/>
        <item x="6"/>
        <item x="8"/>
        <item x="19"/>
        <item x="25"/>
        <item x="14"/>
        <item x="2"/>
        <item x="1"/>
        <item x="27"/>
        <item x="10"/>
        <item t="default"/>
      </items>
    </pivotField>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7">
    <i>
      <x v="5"/>
    </i>
    <i>
      <x v="1"/>
    </i>
    <i>
      <x v="3"/>
    </i>
    <i>
      <x v="2"/>
    </i>
    <i>
      <x v="7"/>
    </i>
    <i>
      <x v="6"/>
    </i>
    <i t="grand">
      <x/>
    </i>
  </rowItems>
  <colItems count="1">
    <i/>
  </colItems>
  <dataFields count="1">
    <dataField name=" 50's" fld="13"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5"/>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0"/>
          </reference>
          <reference field="1" count="1" selected="0">
            <x v="7"/>
          </reference>
        </references>
      </pivotArea>
    </chartFormat>
    <chartFormat chart="0" format="6">
      <pivotArea type="data" outline="0" fieldPosition="0">
        <references count="2">
          <reference field="4294967294" count="1" selected="0">
            <x v="0"/>
          </reference>
          <reference field="1" count="1" selected="0">
            <x v="6"/>
          </reference>
        </references>
      </pivotArea>
    </chartFormat>
    <chartFormat chart="0" format="7">
      <pivotArea type="data" outline="0" fieldPosition="0">
        <references count="2">
          <reference field="4294967294" count="1" selected="0">
            <x v="0"/>
          </reference>
          <reference field="1" count="1" selected="0">
            <x v="4"/>
          </reference>
        </references>
      </pivotArea>
    </chartFormat>
    <chartFormat chart="0" format="8">
      <pivotArea type="data" outline="0" fieldPosition="0">
        <references count="2">
          <reference field="4294967294" count="1" selected="0">
            <x v="0"/>
          </reference>
          <reference field="1" count="1" selected="0">
            <x v="0"/>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1" count="1" selected="0">
            <x v="5"/>
          </reference>
        </references>
      </pivotArea>
    </chartFormat>
    <chartFormat chart="3" format="18">
      <pivotArea type="data" outline="0" fieldPosition="0">
        <references count="2">
          <reference field="4294967294" count="1" selected="0">
            <x v="0"/>
          </reference>
          <reference field="1" count="1" selected="0">
            <x v="1"/>
          </reference>
        </references>
      </pivotArea>
    </chartFormat>
    <chartFormat chart="3" format="19">
      <pivotArea type="data" outline="0" fieldPosition="0">
        <references count="2">
          <reference field="4294967294" count="1" selected="0">
            <x v="0"/>
          </reference>
          <reference field="1" count="1" selected="0">
            <x v="3"/>
          </reference>
        </references>
      </pivotArea>
    </chartFormat>
    <chartFormat chart="3" format="20">
      <pivotArea type="data" outline="0" fieldPosition="0">
        <references count="2">
          <reference field="4294967294" count="1" selected="0">
            <x v="0"/>
          </reference>
          <reference field="1" count="1" selected="0">
            <x v="2"/>
          </reference>
        </references>
      </pivotArea>
    </chartFormat>
    <chartFormat chart="3" format="21">
      <pivotArea type="data" outline="0" fieldPosition="0">
        <references count="2">
          <reference field="4294967294" count="1" selected="0">
            <x v="0"/>
          </reference>
          <reference field="1" count="1" selected="0">
            <x v="7"/>
          </reference>
        </references>
      </pivotArea>
    </chartFormat>
    <chartFormat chart="3" format="22">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6CB20B-893C-4989-93F6-95473641E85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layers">
  <location ref="J3:K8" firstHeaderRow="1" firstDataRow="1" firstDataCol="1" rowPageCount="1" colPageCount="1"/>
  <pivotFields count="27">
    <pivotField axis="axisRow" showAll="0" sortType="descending">
      <items count="54">
        <item x="42"/>
        <item x="1"/>
        <item x="17"/>
        <item x="15"/>
        <item x="14"/>
        <item x="32"/>
        <item x="7"/>
        <item x="28"/>
        <item x="10"/>
        <item x="46"/>
        <item x="19"/>
        <item x="38"/>
        <item x="26"/>
        <item x="33"/>
        <item x="18"/>
        <item x="27"/>
        <item x="47"/>
        <item x="35"/>
        <item x="8"/>
        <item x="30"/>
        <item x="9"/>
        <item x="39"/>
        <item x="22"/>
        <item x="6"/>
        <item x="3"/>
        <item x="2"/>
        <item x="5"/>
        <item x="40"/>
        <item x="37"/>
        <item x="24"/>
        <item x="31"/>
        <item x="0"/>
        <item x="13"/>
        <item x="49"/>
        <item x="11"/>
        <item x="20"/>
        <item x="36"/>
        <item x="21"/>
        <item x="48"/>
        <item x="12"/>
        <item x="34"/>
        <item x="44"/>
        <item x="23"/>
        <item x="45"/>
        <item x="4"/>
        <item x="41"/>
        <item x="25"/>
        <item x="43"/>
        <item x="29"/>
        <item x="16"/>
        <item m="1" x="50"/>
        <item m="1" x="51"/>
        <item m="1" x="5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numFmtId="164" showAll="0">
      <items count="29">
        <item x="15"/>
        <item x="13"/>
        <item x="23"/>
        <item x="9"/>
        <item x="24"/>
        <item x="4"/>
        <item x="10"/>
        <item x="21"/>
        <item x="17"/>
        <item x="26"/>
        <item x="8"/>
        <item x="18"/>
        <item x="2"/>
        <item x="16"/>
        <item x="11"/>
        <item x="5"/>
        <item x="0"/>
        <item x="19"/>
        <item x="25"/>
        <item x="7"/>
        <item x="6"/>
        <item x="20"/>
        <item x="22"/>
        <item x="14"/>
        <item x="3"/>
        <item x="1"/>
        <item x="27"/>
        <item x="12"/>
        <item t="default"/>
      </items>
    </pivotField>
    <pivotField name="                  " axis="axisPage" dataField="1" multipleItemSelectionAllowed="1" showAll="0">
      <items count="3">
        <item h="1" x="1"/>
        <item x="0"/>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0"/>
  </rowFields>
  <rowItems count="5">
    <i>
      <x v="34"/>
    </i>
    <i>
      <x v="31"/>
    </i>
    <i>
      <x v="3"/>
    </i>
    <i>
      <x v="14"/>
    </i>
    <i t="grand">
      <x/>
    </i>
  </rowItems>
  <colItems count="1">
    <i/>
  </colItems>
  <pageFields count="1">
    <pageField fld="14" hier="-1"/>
  </pageFields>
  <dataFields count="1">
    <dataField name="Number of  100's" fld="14" baseField="0" baseItem="3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F21F29-2747-4953-ABB7-175D3E1B7FD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layers">
  <location ref="E1:F7" firstHeaderRow="1"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dataField="1" showAll="0"/>
    <pivotField axis="axisRow" multipleItemSelectionAllowed="1" showAll="0" measureFilter="1" sortType="descending">
      <items count="17">
        <item sd="0" x="3"/>
        <item sd="0" x="4"/>
        <item sd="0" x="6"/>
        <item sd="0" x="2"/>
        <item x="0"/>
        <item x="7"/>
        <item x="1"/>
        <item x="5"/>
        <item m="1" x="8"/>
        <item m="1" x="9"/>
        <item m="1" x="10"/>
        <item m="1" x="11"/>
        <item m="1" x="12"/>
        <item m="1" x="13"/>
        <item m="1" x="14"/>
        <item m="1" x="15"/>
        <item t="default"/>
      </items>
      <autoSortScope>
        <pivotArea dataOnly="0" outline="0" fieldPosition="0">
          <references count="1">
            <reference field="4294967294" count="1" selected="0">
              <x v="0"/>
            </reference>
          </references>
        </pivotArea>
      </autoSortScope>
    </pivotField>
    <pivotField numFmtId="164" showAll="0">
      <items count="29">
        <item x="15"/>
        <item x="13"/>
        <item x="23"/>
        <item x="9"/>
        <item x="24"/>
        <item x="4"/>
        <item x="10"/>
        <item x="21"/>
        <item x="17"/>
        <item x="26"/>
        <item x="8"/>
        <item x="18"/>
        <item x="2"/>
        <item x="16"/>
        <item x="11"/>
        <item x="5"/>
        <item x="0"/>
        <item x="19"/>
        <item x="25"/>
        <item x="7"/>
        <item x="6"/>
        <item x="20"/>
        <item x="22"/>
        <item x="14"/>
        <item x="3"/>
        <item x="1"/>
        <item x="27"/>
        <item x="12"/>
        <item t="default"/>
      </items>
    </pivotField>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6">
    <i>
      <x v="4"/>
    </i>
    <i>
      <x v="7"/>
    </i>
    <i>
      <x v="1"/>
    </i>
    <i>
      <x v="6"/>
    </i>
    <i>
      <x/>
    </i>
    <i t="grand">
      <x/>
    </i>
  </rowItems>
  <colItems count="1">
    <i/>
  </colItems>
  <dataFields count="1">
    <dataField name="Max of Highest Score" fld="11" subtotal="max" baseField="1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BFE6E9A-23A5-4139-811E-5C0F8DAEB79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layers" colHeaderCaption="Partnership Team">
  <location ref="K3:L9" firstHeaderRow="1" firstDataRow="1" firstDataCol="1" rowPageCount="1" colPageCount="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items count="29">
        <item x="15"/>
        <item x="13"/>
        <item x="23"/>
        <item x="9"/>
        <item x="24"/>
        <item x="4"/>
        <item x="10"/>
        <item x="21"/>
        <item x="17"/>
        <item x="26"/>
        <item x="8"/>
        <item x="18"/>
        <item x="2"/>
        <item x="16"/>
        <item x="11"/>
        <item x="5"/>
        <item x="0"/>
        <item x="19"/>
        <item x="25"/>
        <item x="7"/>
        <item x="6"/>
        <item x="20"/>
        <item x="22"/>
        <item x="14"/>
        <item x="3"/>
        <item x="1"/>
        <item x="27"/>
        <item x="12"/>
        <item t="default"/>
      </items>
    </pivotField>
    <pivotField showAll="0"/>
    <pivotField showAll="0"/>
    <pivotField showAll="0"/>
    <pivotField showAll="0"/>
    <pivotField showAll="0"/>
    <pivotField showAll="0"/>
    <pivotField showAll="0"/>
    <pivotField axis="axisRow" showAll="0" measureFilter="1" sortType="descending">
      <items count="41">
        <item x="35"/>
        <item x="10"/>
        <item x="18"/>
        <item x="32"/>
        <item x="16"/>
        <item x="19"/>
        <item x="24"/>
        <item x="30"/>
        <item x="37"/>
        <item x="17"/>
        <item x="39"/>
        <item x="5"/>
        <item x="3"/>
        <item x="6"/>
        <item x="25"/>
        <item x="34"/>
        <item x="33"/>
        <item x="21"/>
        <item x="9"/>
        <item x="0"/>
        <item x="4"/>
        <item x="28"/>
        <item x="2"/>
        <item x="1"/>
        <item x="13"/>
        <item x="27"/>
        <item x="7"/>
        <item x="23"/>
        <item x="11"/>
        <item x="26"/>
        <item x="36"/>
        <item x="20"/>
        <item x="14"/>
        <item x="22"/>
        <item x="29"/>
        <item x="8"/>
        <item x="15"/>
        <item x="12"/>
        <item x="31"/>
        <item x="38"/>
        <item t="default"/>
      </items>
      <autoSortScope>
        <pivotArea dataOnly="0" outline="0" fieldPosition="0">
          <references count="1">
            <reference field="4294967294" count="1" selected="0">
              <x v="0"/>
            </reference>
          </references>
        </pivotArea>
      </autoSortScope>
    </pivotField>
    <pivotField dataField="1" showAll="0"/>
    <pivotField axis="axisPage" multipleItemSelectionAllowed="1" showAll="0">
      <items count="7">
        <item x="0"/>
        <item h="1" x="2"/>
        <item h="1" x="3"/>
        <item h="1" x="1"/>
        <item h="1" x="4"/>
        <item h="1" x="5"/>
        <item t="default"/>
      </items>
    </pivotField>
    <pivotField showAll="0" defaultSubtotal="0"/>
    <pivotField showAll="0" defaultSubtotal="0"/>
    <pivotField showAll="0" defaultSubtotal="0">
      <items count="4">
        <item x="0"/>
        <item x="1"/>
        <item x="2"/>
        <item x="3"/>
      </items>
    </pivotField>
  </pivotFields>
  <rowFields count="1">
    <field x="21"/>
  </rowFields>
  <rowItems count="6">
    <i>
      <x v="19"/>
    </i>
    <i>
      <x v="23"/>
    </i>
    <i>
      <x v="12"/>
    </i>
    <i>
      <x v="28"/>
    </i>
    <i>
      <x v="37"/>
    </i>
    <i t="grand">
      <x/>
    </i>
  </rowItems>
  <colItems count="1">
    <i/>
  </colItems>
  <pageFields count="1">
    <pageField fld="23" hier="-1"/>
  </pageFields>
  <dataFields count="1">
    <dataField name="Top Partnership Runs" fld="22" subtotal="max" baseField="21" baseItem="12"/>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86C1834-1FA0-4944-A63C-11655605AAF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layers">
  <location ref="F1:H7" firstHeaderRow="0" firstDataRow="1" firstDataCol="1"/>
  <pivotFields count="27">
    <pivotField axis="axisRow" showAll="0" measureFilter="1" sortType="descending">
      <items count="54">
        <item x="42"/>
        <item x="1"/>
        <item x="17"/>
        <item x="15"/>
        <item x="14"/>
        <item x="32"/>
        <item x="7"/>
        <item x="28"/>
        <item x="10"/>
        <item x="46"/>
        <item x="19"/>
        <item x="38"/>
        <item x="26"/>
        <item x="33"/>
        <item x="18"/>
        <item x="27"/>
        <item x="47"/>
        <item x="35"/>
        <item x="8"/>
        <item x="30"/>
        <item x="9"/>
        <item x="39"/>
        <item x="22"/>
        <item x="6"/>
        <item x="3"/>
        <item x="2"/>
        <item x="5"/>
        <item x="40"/>
        <item x="37"/>
        <item x="24"/>
        <item x="31"/>
        <item x="0"/>
        <item x="13"/>
        <item x="49"/>
        <item x="11"/>
        <item x="20"/>
        <item x="36"/>
        <item x="21"/>
        <item x="48"/>
        <item x="12"/>
        <item x="34"/>
        <item x="44"/>
        <item x="23"/>
        <item x="45"/>
        <item x="4"/>
        <item x="41"/>
        <item x="25"/>
        <item x="43"/>
        <item x="29"/>
        <item x="16"/>
        <item m="1" x="50"/>
        <item m="1" x="51"/>
        <item m="1" x="52"/>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numFmtId="164" showAll="0">
      <items count="29">
        <item x="15"/>
        <item x="13"/>
        <item x="23"/>
        <item x="9"/>
        <item x="24"/>
        <item x="4"/>
        <item x="10"/>
        <item x="21"/>
        <item x="17"/>
        <item x="26"/>
        <item x="8"/>
        <item x="18"/>
        <item x="2"/>
        <item x="16"/>
        <item x="11"/>
        <item x="5"/>
        <item x="0"/>
        <item x="19"/>
        <item x="25"/>
        <item x="7"/>
        <item x="6"/>
        <item x="20"/>
        <item x="22"/>
        <item x="14"/>
        <item x="3"/>
        <item x="1"/>
        <item x="27"/>
        <item x="12"/>
        <item t="default"/>
      </items>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4">
        <item x="0"/>
        <item x="1"/>
        <item x="2"/>
        <item x="3"/>
      </items>
    </pivotField>
  </pivotFields>
  <rowFields count="1">
    <field x="0"/>
  </rowFields>
  <rowItems count="6">
    <i>
      <x v="46"/>
    </i>
    <i>
      <x v="27"/>
    </i>
    <i>
      <x v="8"/>
    </i>
    <i>
      <x v="41"/>
    </i>
    <i>
      <x v="39"/>
    </i>
    <i t="grand">
      <x/>
    </i>
  </rowItems>
  <colFields count="1">
    <field x="-2"/>
  </colFields>
  <colItems count="2">
    <i>
      <x/>
    </i>
    <i i="1">
      <x v="1"/>
    </i>
  </colItems>
  <dataFields count="2">
    <dataField name="Sum of Total Runs" fld="5" baseField="0" baseItem="0"/>
    <dataField name="Average of Boundries%" fld="20" subtotal="average" baseField="0" baseItem="0"/>
  </dataFields>
  <chartFormats count="16">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2"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83003D4-66F4-4CC0-ABC9-A001A34E1E7F}"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layers">
  <location ref="A8:B14" firstHeaderRow="1" firstDataRow="1" firstDataCol="1"/>
  <pivotFields count="27">
    <pivotField axis="axisRow" showAll="0" measureFilter="1" sortType="ascending">
      <items count="51">
        <item x="42"/>
        <item x="1"/>
        <item x="17"/>
        <item x="15"/>
        <item x="14"/>
        <item x="32"/>
        <item x="7"/>
        <item x="28"/>
        <item x="10"/>
        <item x="46"/>
        <item x="19"/>
        <item x="38"/>
        <item x="26"/>
        <item x="33"/>
        <item x="18"/>
        <item x="27"/>
        <item x="47"/>
        <item x="35"/>
        <item x="8"/>
        <item x="30"/>
        <item x="9"/>
        <item x="39"/>
        <item x="22"/>
        <item x="6"/>
        <item x="3"/>
        <item x="2"/>
        <item x="5"/>
        <item x="40"/>
        <item x="37"/>
        <item x="24"/>
        <item x="31"/>
        <item x="0"/>
        <item x="13"/>
        <item x="49"/>
        <item x="11"/>
        <item x="20"/>
        <item x="36"/>
        <item x="21"/>
        <item x="48"/>
        <item x="12"/>
        <item x="34"/>
        <item x="44"/>
        <item x="23"/>
        <item x="45"/>
        <item x="4"/>
        <item x="41"/>
        <item x="25"/>
        <item x="43"/>
        <item x="29"/>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 showAll="0"/>
    <pivotField dataField="1"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6">
    <i>
      <x v="31"/>
    </i>
    <i>
      <x v="1"/>
    </i>
    <i>
      <x v="25"/>
    </i>
    <i>
      <x v="24"/>
    </i>
    <i>
      <x v="44"/>
    </i>
    <i t="grand">
      <x/>
    </i>
  </rowItems>
  <colItems count="1">
    <i/>
  </colItems>
  <dataFields count="1">
    <dataField name=" Rankings " fld="10" subtotal="max" baseField="0" baseItem="0"/>
  </dataFields>
  <chartFormats count="5">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24"/>
          </reference>
        </references>
      </pivotArea>
    </chartFormat>
    <chartFormat chart="4" format="2">
      <pivotArea type="data" outline="0" fieldPosition="0">
        <references count="2">
          <reference field="4294967294" count="1" selected="0">
            <x v="0"/>
          </reference>
          <reference field="0" count="1" selected="0">
            <x v="25"/>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 chart="4" format="4">
      <pivotArea type="data" outline="0" fieldPosition="0">
        <references count="2">
          <reference field="4294967294" count="1" selected="0">
            <x v="0"/>
          </reference>
          <reference field="0" count="1" selected="0">
            <x v="31"/>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85102DB-9B5C-40DD-9BEC-365162259154}"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layers">
  <location ref="G3:H9" firstHeaderRow="1" firstDataRow="1" firstDataCol="1" rowPageCount="1" colPageCount="1"/>
  <pivotFields count="27">
    <pivotField axis="axisRow" showAll="0" measureFilter="1" sortType="descending">
      <items count="51">
        <item x="42"/>
        <item x="1"/>
        <item x="17"/>
        <item x="15"/>
        <item x="14"/>
        <item x="32"/>
        <item x="7"/>
        <item x="28"/>
        <item x="10"/>
        <item x="46"/>
        <item x="19"/>
        <item x="38"/>
        <item x="26"/>
        <item x="33"/>
        <item x="18"/>
        <item x="27"/>
        <item x="47"/>
        <item x="35"/>
        <item x="8"/>
        <item x="30"/>
        <item x="9"/>
        <item x="39"/>
        <item x="22"/>
        <item x="6"/>
        <item x="3"/>
        <item x="2"/>
        <item x="5"/>
        <item x="40"/>
        <item x="37"/>
        <item x="24"/>
        <item x="31"/>
        <item x="0"/>
        <item x="13"/>
        <item x="49"/>
        <item x="11"/>
        <item x="20"/>
        <item x="36"/>
        <item x="21"/>
        <item x="48"/>
        <item x="12"/>
        <item x="34"/>
        <item x="44"/>
        <item x="23"/>
        <item x="45"/>
        <item x="4"/>
        <item x="41"/>
        <item x="25"/>
        <item x="43"/>
        <item x="29"/>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axis="axisPage" numFmtId="1" showAll="0">
      <items count="51">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6">
    <i>
      <x v="33"/>
    </i>
    <i>
      <x v="38"/>
    </i>
    <i>
      <x v="16"/>
    </i>
    <i>
      <x v="9"/>
    </i>
    <i>
      <x v="43"/>
    </i>
    <i t="grand">
      <x/>
    </i>
  </rowItems>
  <colItems count="1">
    <i/>
  </colItems>
  <pageFields count="1">
    <pageField fld="9" hier="-1"/>
  </pageFields>
  <dataFields count="1">
    <dataField name=" Rankings " fld="10" subtotal="max" baseField="0" baseItem="33"/>
  </dataFields>
  <chartFormats count="5">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33"/>
          </reference>
        </references>
      </pivotArea>
    </chartFormat>
    <chartFormat chart="7" format="6">
      <pivotArea type="data" outline="0" fieldPosition="0">
        <references count="2">
          <reference field="4294967294" count="1" selected="0">
            <x v="0"/>
          </reference>
          <reference field="0" count="1" selected="0">
            <x v="16"/>
          </reference>
        </references>
      </pivotArea>
    </chartFormat>
    <chartFormat chart="7" format="7">
      <pivotArea type="data" outline="0" fieldPosition="0">
        <references count="2">
          <reference field="4294967294" count="1" selected="0">
            <x v="0"/>
          </reference>
          <reference field="0" count="1" selected="0">
            <x v="9"/>
          </reference>
        </references>
      </pivotArea>
    </chartFormat>
    <chartFormat chart="7" format="8">
      <pivotArea type="data" outline="0" fieldPosition="0">
        <references count="2">
          <reference field="4294967294" count="1" selected="0">
            <x v="0"/>
          </reference>
          <reference field="0" count="1" selected="0">
            <x v="43"/>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 xr10:uid="{F7E5F152-9597-4C20-A974-2D459AF8C61F}" sourceName="Player">
  <pivotTables>
    <pivotTable tabId="17" name="PivotTable2"/>
    <pivotTable tabId="17" name="PivotTable1"/>
    <pivotTable tabId="16" name="PivotTable3"/>
    <pivotTable tabId="16" name="PivotTable4"/>
    <pivotTable tabId="18" name="PivotTable5"/>
    <pivotTable tabId="18" name="PivotTable6"/>
    <pivotTable tabId="19" name="PivotTable7"/>
  </pivotTables>
  <data>
    <tabular pivotCacheId="699232070">
      <items count="50">
        <i x="40" s="1"/>
        <i x="1" s="1"/>
        <i x="15" s="1"/>
        <i x="16" s="1"/>
        <i x="10" s="1"/>
        <i x="31" s="1"/>
        <i x="6" s="1"/>
        <i x="27" s="1"/>
        <i x="12" s="1"/>
        <i x="49" s="1"/>
        <i x="14" s="1"/>
        <i x="35" s="1"/>
        <i x="23" s="1"/>
        <i x="32" s="1"/>
        <i x="18" s="1"/>
        <i x="26" s="1"/>
        <i x="45" s="1"/>
        <i x="37" s="1"/>
        <i x="9" s="1"/>
        <i x="28" s="1"/>
        <i x="7" s="1"/>
        <i x="34" s="1"/>
        <i x="21" s="1"/>
        <i x="8" s="1"/>
        <i x="2" s="1"/>
        <i x="3" s="1"/>
        <i x="5" s="1"/>
        <i x="41" s="1"/>
        <i x="39" s="1"/>
        <i x="25" s="1"/>
        <i x="38" s="1"/>
        <i x="0" s="1"/>
        <i x="13" s="1"/>
        <i x="48" s="1"/>
        <i x="19" s="1"/>
        <i x="20" s="1"/>
        <i x="36" s="1"/>
        <i x="22" s="1"/>
        <i x="42" s="1"/>
        <i x="17" s="1"/>
        <i x="33" s="1"/>
        <i x="46" s="1"/>
        <i x="24" s="1"/>
        <i x="43" s="1"/>
        <i x="4" s="1"/>
        <i x="47" s="1"/>
        <i x="30" s="1"/>
        <i x="44" s="1"/>
        <i x="29"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31B1F5A8-A4D8-47DE-B588-2255BFF0564C}" sourceName="Team">
  <pivotTables>
    <pivotTable tabId="18" name="PivotTable6"/>
  </pivotTables>
  <data>
    <tabular pivotCacheId="699232070">
      <items count="8">
        <i x="3" s="1"/>
        <i x="1" s="1"/>
        <i x="2" s="1"/>
        <i x="4" s="1"/>
        <i x="6" s="1"/>
        <i x="0" s="1"/>
        <i x="7"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er" xr10:uid="{0BDCE5D6-BD1C-4CAF-B3E0-7EEF72FBF642}" cache="Slicer_Player" caption="Player" style="SlicerStyleLight6" rowHeight="234950"/>
  <slicer name="Team" xr10:uid="{997C8CD2-0E80-4FA7-8239-7431E52722D7}" cache="Slicer_Team" caption="Team"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D023F-B3CC-401B-A74E-99EFAFAD2355}">
  <dimension ref="A1:AA51"/>
  <sheetViews>
    <sheetView topLeftCell="O1" zoomScale="98" workbookViewId="0">
      <selection activeCell="AA2" sqref="AA2"/>
    </sheetView>
  </sheetViews>
  <sheetFormatPr defaultRowHeight="14.4" x14ac:dyDescent="0.3"/>
  <cols>
    <col min="1" max="1" width="15.21875" bestFit="1" customWidth="1"/>
    <col min="2" max="3" width="14.44140625" bestFit="1" customWidth="1"/>
    <col min="4" max="4" width="13.21875" bestFit="1" customWidth="1"/>
    <col min="5" max="5" width="11.6640625" bestFit="1" customWidth="1"/>
    <col min="6" max="6" width="12.109375" bestFit="1" customWidth="1"/>
    <col min="7" max="7" width="13.44140625" bestFit="1" customWidth="1"/>
    <col min="8" max="8" width="18.44140625" bestFit="1" customWidth="1"/>
    <col min="9" max="9" width="15.77734375" bestFit="1" customWidth="1"/>
    <col min="10" max="11" width="22" customWidth="1"/>
    <col min="12" max="12" width="15.88671875" bestFit="1" customWidth="1"/>
    <col min="13" max="14" width="14.21875" customWidth="1"/>
    <col min="15" max="15" width="7.5546875" customWidth="1"/>
    <col min="16" max="16" width="7.33203125" customWidth="1"/>
    <col min="17" max="17" width="9.33203125" customWidth="1"/>
    <col min="18" max="18" width="7.33203125" customWidth="1"/>
    <col min="19" max="19" width="16.77734375" customWidth="1"/>
    <col min="20" max="20" width="16.5546875" customWidth="1"/>
    <col min="21" max="21" width="16.109375" customWidth="1"/>
    <col min="22" max="22" width="25.5546875" bestFit="1" customWidth="1"/>
    <col min="23" max="23" width="21.33203125" customWidth="1"/>
    <col min="24" max="24" width="13" customWidth="1"/>
    <col min="25" max="25" width="14.6640625" customWidth="1"/>
    <col min="26" max="26" width="25.109375" bestFit="1" customWidth="1"/>
    <col min="27" max="27" width="10.33203125" bestFit="1" customWidth="1"/>
  </cols>
  <sheetData>
    <row r="1" spans="1:27" ht="15.6" x14ac:dyDescent="0.3">
      <c r="A1" s="5" t="s">
        <v>0</v>
      </c>
      <c r="B1" s="5" t="s">
        <v>6</v>
      </c>
      <c r="C1" s="5" t="s">
        <v>121</v>
      </c>
      <c r="D1" s="5" t="s">
        <v>120</v>
      </c>
      <c r="E1" s="5" t="s">
        <v>122</v>
      </c>
      <c r="F1" s="5" t="s">
        <v>123</v>
      </c>
      <c r="G1" s="5" t="s">
        <v>116</v>
      </c>
      <c r="H1" s="5" t="s">
        <v>117</v>
      </c>
      <c r="I1" s="5" t="s">
        <v>115</v>
      </c>
      <c r="J1" s="5" t="s">
        <v>197</v>
      </c>
      <c r="K1" s="5" t="s">
        <v>203</v>
      </c>
      <c r="L1" s="5" t="s">
        <v>124</v>
      </c>
      <c r="M1" s="5" t="s">
        <v>7</v>
      </c>
      <c r="N1" s="5" t="s">
        <v>9</v>
      </c>
      <c r="O1" s="5" t="s">
        <v>118</v>
      </c>
      <c r="P1" s="5" t="s">
        <v>119</v>
      </c>
      <c r="Q1" s="5" t="s">
        <v>3</v>
      </c>
      <c r="R1" s="5" t="s">
        <v>4</v>
      </c>
      <c r="S1" s="5" t="s">
        <v>200</v>
      </c>
      <c r="T1" s="5" t="s">
        <v>201</v>
      </c>
      <c r="U1" s="5" t="s">
        <v>202</v>
      </c>
      <c r="V1" s="5" t="s">
        <v>169</v>
      </c>
      <c r="W1" s="5" t="s">
        <v>170</v>
      </c>
      <c r="X1" s="5" t="s">
        <v>172</v>
      </c>
      <c r="Y1" s="5" t="s">
        <v>171</v>
      </c>
      <c r="Z1" s="5" t="s">
        <v>173</v>
      </c>
      <c r="AA1" s="5" t="s">
        <v>191</v>
      </c>
    </row>
    <row r="2" spans="1:27" x14ac:dyDescent="0.3">
      <c r="A2" t="s">
        <v>11</v>
      </c>
      <c r="B2" t="s">
        <v>13</v>
      </c>
      <c r="C2">
        <v>17</v>
      </c>
      <c r="D2">
        <v>17</v>
      </c>
      <c r="E2">
        <v>4</v>
      </c>
      <c r="F2">
        <v>705</v>
      </c>
      <c r="G2">
        <v>516</v>
      </c>
      <c r="H2">
        <v>136.62</v>
      </c>
      <c r="I2">
        <v>54.23</v>
      </c>
      <c r="J2" s="10">
        <v>985.85</v>
      </c>
      <c r="K2" s="10">
        <v>1</v>
      </c>
      <c r="L2">
        <v>147</v>
      </c>
      <c r="M2" t="s">
        <v>14</v>
      </c>
      <c r="N2" s="3">
        <v>43842</v>
      </c>
      <c r="O2">
        <v>1</v>
      </c>
      <c r="P2">
        <v>6</v>
      </c>
      <c r="Q2">
        <v>62</v>
      </c>
      <c r="R2">
        <v>28</v>
      </c>
      <c r="S2">
        <v>90</v>
      </c>
      <c r="T2">
        <v>416</v>
      </c>
      <c r="U2">
        <v>59</v>
      </c>
      <c r="V2" t="s">
        <v>125</v>
      </c>
      <c r="W2">
        <v>207</v>
      </c>
      <c r="X2" t="s">
        <v>126</v>
      </c>
      <c r="Y2" t="s">
        <v>13</v>
      </c>
      <c r="Z2" t="s">
        <v>14</v>
      </c>
      <c r="AA2" t="str">
        <f t="shared" ref="AA2:AA33" si="0">TEXT(N2,"mmm")</f>
        <v>Jan</v>
      </c>
    </row>
    <row r="3" spans="1:27" x14ac:dyDescent="0.3">
      <c r="A3" t="s">
        <v>41</v>
      </c>
      <c r="B3" t="s">
        <v>19</v>
      </c>
      <c r="C3">
        <v>17</v>
      </c>
      <c r="D3">
        <v>17</v>
      </c>
      <c r="E3">
        <v>2</v>
      </c>
      <c r="F3">
        <v>576</v>
      </c>
      <c r="G3">
        <v>392</v>
      </c>
      <c r="H3">
        <v>146.93</v>
      </c>
      <c r="I3">
        <v>38.4</v>
      </c>
      <c r="J3" s="10">
        <v>843.33</v>
      </c>
      <c r="K3" s="10">
        <v>2</v>
      </c>
      <c r="L3">
        <v>85</v>
      </c>
      <c r="M3" t="s">
        <v>20</v>
      </c>
      <c r="N3" s="3">
        <v>43856</v>
      </c>
      <c r="O3">
        <v>0</v>
      </c>
      <c r="P3">
        <v>6</v>
      </c>
      <c r="Q3">
        <v>59</v>
      </c>
      <c r="R3">
        <v>23</v>
      </c>
      <c r="S3">
        <v>82</v>
      </c>
      <c r="T3">
        <v>374</v>
      </c>
      <c r="U3">
        <v>64.930000000000007</v>
      </c>
      <c r="V3" t="s">
        <v>127</v>
      </c>
      <c r="W3">
        <v>203</v>
      </c>
      <c r="X3" t="s">
        <v>126</v>
      </c>
      <c r="Y3" t="s">
        <v>19</v>
      </c>
      <c r="Z3" t="s">
        <v>20</v>
      </c>
      <c r="AA3" t="str">
        <f t="shared" si="0"/>
        <v>Jan</v>
      </c>
    </row>
    <row r="4" spans="1:27" x14ac:dyDescent="0.3">
      <c r="A4" t="s">
        <v>43</v>
      </c>
      <c r="B4" t="s">
        <v>23</v>
      </c>
      <c r="C4">
        <v>16</v>
      </c>
      <c r="D4">
        <v>16</v>
      </c>
      <c r="E4">
        <v>3</v>
      </c>
      <c r="F4">
        <v>487</v>
      </c>
      <c r="G4">
        <v>375</v>
      </c>
      <c r="H4">
        <v>129.86000000000001</v>
      </c>
      <c r="I4">
        <v>37.46</v>
      </c>
      <c r="J4" s="10">
        <v>728.68999999999994</v>
      </c>
      <c r="K4" s="10">
        <v>3</v>
      </c>
      <c r="L4">
        <v>83</v>
      </c>
      <c r="M4" t="s">
        <v>14</v>
      </c>
      <c r="N4" s="3">
        <v>43855</v>
      </c>
      <c r="O4">
        <v>0</v>
      </c>
      <c r="P4">
        <v>5</v>
      </c>
      <c r="Q4">
        <v>41</v>
      </c>
      <c r="R4">
        <v>16</v>
      </c>
      <c r="S4">
        <v>47</v>
      </c>
      <c r="T4">
        <v>206</v>
      </c>
      <c r="U4">
        <v>43.09</v>
      </c>
      <c r="V4" t="s">
        <v>128</v>
      </c>
      <c r="W4">
        <v>136</v>
      </c>
      <c r="X4" t="s">
        <v>126</v>
      </c>
      <c r="Y4" t="s">
        <v>33</v>
      </c>
      <c r="Z4" t="s">
        <v>51</v>
      </c>
      <c r="AA4" t="str">
        <f t="shared" si="0"/>
        <v>Jan</v>
      </c>
    </row>
    <row r="5" spans="1:27" x14ac:dyDescent="0.3">
      <c r="A5" t="s">
        <v>70</v>
      </c>
      <c r="B5" t="s">
        <v>19</v>
      </c>
      <c r="C5">
        <v>15</v>
      </c>
      <c r="D5">
        <v>14</v>
      </c>
      <c r="E5">
        <v>7</v>
      </c>
      <c r="F5">
        <v>478</v>
      </c>
      <c r="G5">
        <v>353</v>
      </c>
      <c r="H5">
        <v>135.41</v>
      </c>
      <c r="I5">
        <v>68.28</v>
      </c>
      <c r="J5" s="10">
        <v>711.32</v>
      </c>
      <c r="K5" s="10">
        <v>4</v>
      </c>
      <c r="L5">
        <v>68</v>
      </c>
      <c r="M5" t="s">
        <v>27</v>
      </c>
      <c r="N5" s="3">
        <v>43835</v>
      </c>
      <c r="O5">
        <v>0</v>
      </c>
      <c r="P5">
        <v>4</v>
      </c>
      <c r="Q5">
        <v>38</v>
      </c>
      <c r="R5">
        <v>9</v>
      </c>
      <c r="S5">
        <v>57</v>
      </c>
      <c r="T5">
        <v>260</v>
      </c>
      <c r="U5">
        <v>53.38</v>
      </c>
      <c r="V5" t="s">
        <v>129</v>
      </c>
      <c r="W5">
        <v>124</v>
      </c>
      <c r="X5" t="s">
        <v>130</v>
      </c>
      <c r="Y5" t="s">
        <v>33</v>
      </c>
      <c r="Z5" t="s">
        <v>34</v>
      </c>
      <c r="AA5" t="str">
        <f t="shared" si="0"/>
        <v>Jan</v>
      </c>
    </row>
    <row r="6" spans="1:27" x14ac:dyDescent="0.3">
      <c r="A6" t="s">
        <v>84</v>
      </c>
      <c r="B6" t="s">
        <v>30</v>
      </c>
      <c r="C6">
        <v>12</v>
      </c>
      <c r="D6">
        <v>12</v>
      </c>
      <c r="E6">
        <v>0</v>
      </c>
      <c r="F6">
        <v>449</v>
      </c>
      <c r="G6">
        <v>362</v>
      </c>
      <c r="H6">
        <v>124.03</v>
      </c>
      <c r="I6">
        <v>37.409999999999997</v>
      </c>
      <c r="J6" s="10">
        <v>664.43999999999994</v>
      </c>
      <c r="K6" s="10">
        <v>5</v>
      </c>
      <c r="L6">
        <v>63</v>
      </c>
      <c r="M6" t="s">
        <v>14</v>
      </c>
      <c r="N6" s="3">
        <v>43821</v>
      </c>
      <c r="O6">
        <v>0</v>
      </c>
      <c r="P6">
        <v>3</v>
      </c>
      <c r="Q6">
        <v>40</v>
      </c>
      <c r="R6">
        <v>14</v>
      </c>
      <c r="S6">
        <v>54</v>
      </c>
      <c r="T6">
        <v>244</v>
      </c>
      <c r="U6">
        <v>54.34</v>
      </c>
      <c r="V6" t="s">
        <v>128</v>
      </c>
      <c r="W6">
        <v>124</v>
      </c>
      <c r="X6" t="s">
        <v>126</v>
      </c>
      <c r="Y6" t="s">
        <v>33</v>
      </c>
      <c r="Z6" t="s">
        <v>20</v>
      </c>
      <c r="AA6" t="str">
        <f t="shared" si="0"/>
        <v>Dec</v>
      </c>
    </row>
    <row r="7" spans="1:27" x14ac:dyDescent="0.3">
      <c r="A7" t="s">
        <v>58</v>
      </c>
      <c r="B7" t="s">
        <v>33</v>
      </c>
      <c r="C7">
        <v>14</v>
      </c>
      <c r="D7">
        <v>14</v>
      </c>
      <c r="E7">
        <v>0</v>
      </c>
      <c r="F7">
        <v>425</v>
      </c>
      <c r="G7">
        <v>298</v>
      </c>
      <c r="H7">
        <v>142.61000000000001</v>
      </c>
      <c r="I7">
        <v>30.35</v>
      </c>
      <c r="J7" s="10">
        <v>650.96</v>
      </c>
      <c r="K7" s="10">
        <v>6</v>
      </c>
      <c r="L7">
        <v>79</v>
      </c>
      <c r="M7" t="s">
        <v>34</v>
      </c>
      <c r="N7" s="3">
        <v>43841</v>
      </c>
      <c r="O7">
        <v>0</v>
      </c>
      <c r="P7">
        <v>4</v>
      </c>
      <c r="Q7">
        <v>26</v>
      </c>
      <c r="R7">
        <v>27</v>
      </c>
      <c r="S7">
        <v>53</v>
      </c>
      <c r="T7">
        <v>266</v>
      </c>
      <c r="U7">
        <v>62.58</v>
      </c>
      <c r="V7" t="s">
        <v>131</v>
      </c>
      <c r="W7">
        <v>123</v>
      </c>
      <c r="X7" t="s">
        <v>132</v>
      </c>
      <c r="Y7" t="s">
        <v>13</v>
      </c>
      <c r="Z7" t="s">
        <v>51</v>
      </c>
      <c r="AA7" t="str">
        <f t="shared" si="0"/>
        <v>Jan</v>
      </c>
    </row>
    <row r="8" spans="1:27" x14ac:dyDescent="0.3">
      <c r="A8" t="s">
        <v>72</v>
      </c>
      <c r="B8" t="s">
        <v>19</v>
      </c>
      <c r="C8">
        <v>14</v>
      </c>
      <c r="D8">
        <v>14</v>
      </c>
      <c r="E8">
        <v>4</v>
      </c>
      <c r="F8">
        <v>425</v>
      </c>
      <c r="G8">
        <v>322</v>
      </c>
      <c r="H8">
        <v>131.97999999999999</v>
      </c>
      <c r="I8">
        <v>42.5</v>
      </c>
      <c r="J8" s="10">
        <v>643.91</v>
      </c>
      <c r="K8" s="10">
        <v>7</v>
      </c>
      <c r="L8">
        <v>67</v>
      </c>
      <c r="M8" t="s">
        <v>20</v>
      </c>
      <c r="N8" s="3">
        <v>43849</v>
      </c>
      <c r="O8">
        <v>0</v>
      </c>
      <c r="P8">
        <v>3</v>
      </c>
      <c r="Q8">
        <v>26</v>
      </c>
      <c r="R8">
        <v>17</v>
      </c>
      <c r="S8">
        <v>56</v>
      </c>
      <c r="T8">
        <v>254</v>
      </c>
      <c r="U8">
        <v>62.71</v>
      </c>
      <c r="V8" t="s">
        <v>131</v>
      </c>
      <c r="W8">
        <v>117</v>
      </c>
      <c r="X8" t="s">
        <v>132</v>
      </c>
      <c r="Y8" t="s">
        <v>13</v>
      </c>
      <c r="Z8" t="s">
        <v>51</v>
      </c>
      <c r="AA8" t="str">
        <f t="shared" si="0"/>
        <v>Jan</v>
      </c>
    </row>
    <row r="9" spans="1:27" x14ac:dyDescent="0.3">
      <c r="A9" t="s">
        <v>53</v>
      </c>
      <c r="B9" t="s">
        <v>30</v>
      </c>
      <c r="C9">
        <v>15</v>
      </c>
      <c r="D9">
        <v>15</v>
      </c>
      <c r="E9">
        <v>1</v>
      </c>
      <c r="F9">
        <v>407</v>
      </c>
      <c r="G9">
        <v>304</v>
      </c>
      <c r="H9">
        <v>133.88</v>
      </c>
      <c r="I9">
        <v>29.07</v>
      </c>
      <c r="J9" s="10">
        <v>642.48</v>
      </c>
      <c r="K9" s="10">
        <v>8</v>
      </c>
      <c r="L9">
        <v>83</v>
      </c>
      <c r="M9" t="s">
        <v>39</v>
      </c>
      <c r="N9" s="3">
        <v>43833</v>
      </c>
      <c r="O9">
        <v>0</v>
      </c>
      <c r="P9">
        <v>2</v>
      </c>
      <c r="Q9">
        <v>47</v>
      </c>
      <c r="R9">
        <v>13</v>
      </c>
      <c r="S9">
        <v>43</v>
      </c>
      <c r="T9">
        <v>206</v>
      </c>
      <c r="U9">
        <v>48.47</v>
      </c>
      <c r="V9" t="s">
        <v>133</v>
      </c>
      <c r="W9">
        <v>115</v>
      </c>
      <c r="X9" t="s">
        <v>130</v>
      </c>
      <c r="Y9" t="s">
        <v>13</v>
      </c>
      <c r="Z9" t="s">
        <v>48</v>
      </c>
      <c r="AA9" t="str">
        <f t="shared" si="0"/>
        <v>Jan</v>
      </c>
    </row>
    <row r="10" spans="1:27" x14ac:dyDescent="0.3">
      <c r="A10" t="s">
        <v>64</v>
      </c>
      <c r="B10" t="s">
        <v>42</v>
      </c>
      <c r="C10">
        <v>14</v>
      </c>
      <c r="D10">
        <v>14</v>
      </c>
      <c r="E10">
        <v>0</v>
      </c>
      <c r="F10">
        <v>405</v>
      </c>
      <c r="G10">
        <v>263</v>
      </c>
      <c r="H10">
        <v>153.99</v>
      </c>
      <c r="I10">
        <v>28.92</v>
      </c>
      <c r="J10" s="10">
        <v>634.29999999999995</v>
      </c>
      <c r="K10" s="10">
        <v>9</v>
      </c>
      <c r="L10">
        <v>73</v>
      </c>
      <c r="M10" t="s">
        <v>27</v>
      </c>
      <c r="N10" s="3">
        <v>43850</v>
      </c>
      <c r="O10">
        <v>0</v>
      </c>
      <c r="P10">
        <v>4</v>
      </c>
      <c r="Q10">
        <v>41</v>
      </c>
      <c r="R10">
        <v>15</v>
      </c>
      <c r="S10">
        <v>48</v>
      </c>
      <c r="T10">
        <v>232</v>
      </c>
      <c r="U10">
        <v>58.29</v>
      </c>
      <c r="V10" t="s">
        <v>134</v>
      </c>
      <c r="W10">
        <v>114</v>
      </c>
      <c r="X10" t="s">
        <v>135</v>
      </c>
      <c r="Y10" t="s">
        <v>45</v>
      </c>
      <c r="Z10" t="s">
        <v>66</v>
      </c>
      <c r="AA10" t="str">
        <f t="shared" si="0"/>
        <v>Jan</v>
      </c>
    </row>
    <row r="11" spans="1:27" x14ac:dyDescent="0.3">
      <c r="A11" t="s">
        <v>47</v>
      </c>
      <c r="B11" t="s">
        <v>45</v>
      </c>
      <c r="C11">
        <v>17</v>
      </c>
      <c r="D11">
        <v>16</v>
      </c>
      <c r="E11">
        <v>6</v>
      </c>
      <c r="F11">
        <v>398</v>
      </c>
      <c r="G11">
        <v>268</v>
      </c>
      <c r="H11">
        <v>148.5</v>
      </c>
      <c r="I11">
        <v>39.799999999999997</v>
      </c>
      <c r="J11" s="10">
        <v>629.95000000000005</v>
      </c>
      <c r="K11" s="10">
        <v>10</v>
      </c>
      <c r="L11">
        <v>83</v>
      </c>
      <c r="M11" t="s">
        <v>20</v>
      </c>
      <c r="N11" s="3">
        <v>43835</v>
      </c>
      <c r="O11">
        <v>0</v>
      </c>
      <c r="P11">
        <v>3</v>
      </c>
      <c r="Q11">
        <v>28</v>
      </c>
      <c r="R11">
        <v>20</v>
      </c>
      <c r="S11">
        <v>60</v>
      </c>
      <c r="T11">
        <v>266</v>
      </c>
      <c r="U11">
        <v>65.349999999999994</v>
      </c>
      <c r="V11" t="s">
        <v>136</v>
      </c>
      <c r="W11">
        <v>109</v>
      </c>
      <c r="X11" t="s">
        <v>135</v>
      </c>
      <c r="Y11" t="s">
        <v>33</v>
      </c>
      <c r="Z11" t="s">
        <v>39</v>
      </c>
      <c r="AA11" t="str">
        <f t="shared" si="0"/>
        <v>Jan</v>
      </c>
    </row>
    <row r="12" spans="1:27" x14ac:dyDescent="0.3">
      <c r="A12" t="s">
        <v>88</v>
      </c>
      <c r="B12" t="s">
        <v>13</v>
      </c>
      <c r="C12">
        <v>11</v>
      </c>
      <c r="D12">
        <v>11</v>
      </c>
      <c r="E12">
        <v>0</v>
      </c>
      <c r="F12">
        <v>391</v>
      </c>
      <c r="G12">
        <v>312</v>
      </c>
      <c r="H12">
        <v>125.32</v>
      </c>
      <c r="I12">
        <v>35.54</v>
      </c>
      <c r="J12" s="10">
        <v>624.6</v>
      </c>
      <c r="K12" s="10">
        <v>11</v>
      </c>
      <c r="L12">
        <v>55</v>
      </c>
      <c r="M12" t="s">
        <v>48</v>
      </c>
      <c r="N12" s="3">
        <v>43840</v>
      </c>
      <c r="O12">
        <v>0</v>
      </c>
      <c r="P12">
        <v>1</v>
      </c>
      <c r="Q12">
        <v>30</v>
      </c>
      <c r="R12">
        <v>13</v>
      </c>
      <c r="S12">
        <v>59</v>
      </c>
      <c r="T12">
        <v>282</v>
      </c>
      <c r="U12">
        <v>72.86</v>
      </c>
      <c r="V12" t="s">
        <v>137</v>
      </c>
      <c r="W12">
        <v>104</v>
      </c>
      <c r="X12" t="s">
        <v>126</v>
      </c>
      <c r="Y12" t="s">
        <v>54</v>
      </c>
      <c r="Z12" t="s">
        <v>34</v>
      </c>
      <c r="AA12" t="str">
        <f t="shared" si="0"/>
        <v>Jan</v>
      </c>
    </row>
    <row r="13" spans="1:27" x14ac:dyDescent="0.3">
      <c r="A13" t="s">
        <v>77</v>
      </c>
      <c r="B13" t="s">
        <v>13</v>
      </c>
      <c r="C13">
        <v>17</v>
      </c>
      <c r="D13">
        <v>17</v>
      </c>
      <c r="E13">
        <v>0</v>
      </c>
      <c r="F13">
        <v>388</v>
      </c>
      <c r="G13">
        <v>312</v>
      </c>
      <c r="H13">
        <v>124.35</v>
      </c>
      <c r="I13">
        <v>22.82</v>
      </c>
      <c r="J13" s="10">
        <v>617.35</v>
      </c>
      <c r="K13" s="10">
        <v>12</v>
      </c>
      <c r="L13">
        <v>66</v>
      </c>
      <c r="M13" t="s">
        <v>51</v>
      </c>
      <c r="N13" s="3">
        <v>43867</v>
      </c>
      <c r="O13">
        <v>0</v>
      </c>
      <c r="P13">
        <v>3</v>
      </c>
      <c r="Q13">
        <v>42</v>
      </c>
      <c r="R13">
        <v>5</v>
      </c>
      <c r="S13">
        <v>45</v>
      </c>
      <c r="T13">
        <v>210</v>
      </c>
      <c r="U13">
        <v>59.82</v>
      </c>
      <c r="V13" t="s">
        <v>138</v>
      </c>
      <c r="W13">
        <v>103</v>
      </c>
      <c r="X13" t="s">
        <v>126</v>
      </c>
      <c r="Y13" t="s">
        <v>42</v>
      </c>
      <c r="Z13" t="s">
        <v>39</v>
      </c>
      <c r="AA13" t="str">
        <f t="shared" si="0"/>
        <v>Feb</v>
      </c>
    </row>
    <row r="14" spans="1:27" x14ac:dyDescent="0.3">
      <c r="A14" t="s">
        <v>29</v>
      </c>
      <c r="B14" t="s">
        <v>13</v>
      </c>
      <c r="C14">
        <v>14</v>
      </c>
      <c r="D14">
        <v>14</v>
      </c>
      <c r="E14">
        <v>1</v>
      </c>
      <c r="F14">
        <v>387</v>
      </c>
      <c r="G14">
        <v>260</v>
      </c>
      <c r="H14">
        <v>148.84</v>
      </c>
      <c r="I14">
        <v>29.76</v>
      </c>
      <c r="J14" s="10">
        <v>607.87</v>
      </c>
      <c r="K14" s="10">
        <v>13</v>
      </c>
      <c r="L14">
        <v>94</v>
      </c>
      <c r="M14" t="s">
        <v>34</v>
      </c>
      <c r="N14" s="3">
        <v>43819</v>
      </c>
      <c r="O14">
        <v>0</v>
      </c>
      <c r="P14">
        <v>2</v>
      </c>
      <c r="Q14">
        <v>36</v>
      </c>
      <c r="R14">
        <v>23</v>
      </c>
      <c r="S14">
        <v>57</v>
      </c>
      <c r="T14">
        <v>252</v>
      </c>
      <c r="U14">
        <v>69.8</v>
      </c>
      <c r="V14" t="s">
        <v>128</v>
      </c>
      <c r="W14">
        <v>102</v>
      </c>
      <c r="X14" t="s">
        <v>126</v>
      </c>
      <c r="Y14" t="s">
        <v>33</v>
      </c>
      <c r="Z14" t="s">
        <v>48</v>
      </c>
      <c r="AA14" t="str">
        <f t="shared" si="0"/>
        <v>Dec</v>
      </c>
    </row>
    <row r="15" spans="1:27" x14ac:dyDescent="0.3">
      <c r="A15" t="s">
        <v>31</v>
      </c>
      <c r="B15" t="s">
        <v>54</v>
      </c>
      <c r="C15">
        <v>14</v>
      </c>
      <c r="D15">
        <v>14</v>
      </c>
      <c r="E15">
        <v>3</v>
      </c>
      <c r="F15">
        <v>382</v>
      </c>
      <c r="G15">
        <v>263</v>
      </c>
      <c r="H15">
        <v>145.24</v>
      </c>
      <c r="I15">
        <v>34.72</v>
      </c>
      <c r="J15" s="10">
        <v>600.96</v>
      </c>
      <c r="K15" s="10">
        <v>14</v>
      </c>
      <c r="L15">
        <v>93</v>
      </c>
      <c r="M15" t="s">
        <v>27</v>
      </c>
      <c r="N15" s="3">
        <v>43822</v>
      </c>
      <c r="O15">
        <v>0</v>
      </c>
      <c r="P15">
        <v>2</v>
      </c>
      <c r="Q15">
        <v>19</v>
      </c>
      <c r="R15">
        <v>20</v>
      </c>
      <c r="S15">
        <v>39</v>
      </c>
      <c r="T15">
        <v>196</v>
      </c>
      <c r="U15">
        <v>51.3</v>
      </c>
      <c r="V15" t="s">
        <v>139</v>
      </c>
      <c r="W15">
        <v>99</v>
      </c>
      <c r="X15" t="s">
        <v>126</v>
      </c>
      <c r="Y15" t="s">
        <v>42</v>
      </c>
      <c r="Z15" t="s">
        <v>48</v>
      </c>
      <c r="AA15" t="str">
        <f t="shared" si="0"/>
        <v>Dec</v>
      </c>
    </row>
    <row r="16" spans="1:27" x14ac:dyDescent="0.3">
      <c r="A16" t="s">
        <v>59</v>
      </c>
      <c r="B16" t="s">
        <v>13</v>
      </c>
      <c r="C16">
        <v>17</v>
      </c>
      <c r="D16">
        <v>17</v>
      </c>
      <c r="E16">
        <v>4</v>
      </c>
      <c r="F16">
        <v>376</v>
      </c>
      <c r="G16">
        <v>297</v>
      </c>
      <c r="H16">
        <v>126.59</v>
      </c>
      <c r="I16">
        <v>28.92</v>
      </c>
      <c r="J16" s="10">
        <v>594.8599999999999</v>
      </c>
      <c r="K16" s="10">
        <v>15</v>
      </c>
      <c r="L16">
        <v>73</v>
      </c>
      <c r="M16" t="s">
        <v>51</v>
      </c>
      <c r="N16" s="3">
        <v>43867</v>
      </c>
      <c r="O16">
        <v>0</v>
      </c>
      <c r="P16">
        <v>3</v>
      </c>
      <c r="Q16">
        <v>35</v>
      </c>
      <c r="R16">
        <v>8</v>
      </c>
      <c r="S16">
        <v>43</v>
      </c>
      <c r="T16">
        <v>198</v>
      </c>
      <c r="U16">
        <v>50.63</v>
      </c>
      <c r="V16" t="s">
        <v>140</v>
      </c>
      <c r="W16">
        <v>97</v>
      </c>
      <c r="X16" t="s">
        <v>135</v>
      </c>
      <c r="Y16" t="s">
        <v>54</v>
      </c>
      <c r="Z16" t="s">
        <v>39</v>
      </c>
      <c r="AA16" t="str">
        <f t="shared" si="0"/>
        <v>Feb</v>
      </c>
    </row>
    <row r="17" spans="1:27" x14ac:dyDescent="0.3">
      <c r="A17" t="s">
        <v>87</v>
      </c>
      <c r="B17" t="s">
        <v>45</v>
      </c>
      <c r="C17">
        <v>17</v>
      </c>
      <c r="D17">
        <v>15</v>
      </c>
      <c r="E17">
        <v>5</v>
      </c>
      <c r="F17">
        <v>372</v>
      </c>
      <c r="G17">
        <v>286</v>
      </c>
      <c r="H17">
        <v>130.06</v>
      </c>
      <c r="I17">
        <v>37.200000000000003</v>
      </c>
      <c r="J17" s="10">
        <v>586.45000000000005</v>
      </c>
      <c r="K17" s="10">
        <v>16</v>
      </c>
      <c r="L17">
        <v>58</v>
      </c>
      <c r="M17" t="s">
        <v>27</v>
      </c>
      <c r="N17" s="3">
        <v>43817</v>
      </c>
      <c r="O17">
        <v>0</v>
      </c>
      <c r="P17">
        <v>2</v>
      </c>
      <c r="Q17">
        <v>25</v>
      </c>
      <c r="R17">
        <v>14</v>
      </c>
      <c r="S17">
        <v>39</v>
      </c>
      <c r="T17">
        <v>188</v>
      </c>
      <c r="U17">
        <v>51.79</v>
      </c>
      <c r="V17" t="s">
        <v>141</v>
      </c>
      <c r="W17">
        <v>97</v>
      </c>
      <c r="X17" t="s">
        <v>132</v>
      </c>
      <c r="Y17" t="s">
        <v>19</v>
      </c>
      <c r="Z17" t="s">
        <v>51</v>
      </c>
      <c r="AA17" t="str">
        <f t="shared" si="0"/>
        <v>Dec</v>
      </c>
    </row>
    <row r="18" spans="1:27" x14ac:dyDescent="0.3">
      <c r="A18" t="s">
        <v>22</v>
      </c>
      <c r="B18" t="s">
        <v>13</v>
      </c>
      <c r="C18">
        <v>9</v>
      </c>
      <c r="D18">
        <v>9</v>
      </c>
      <c r="E18">
        <v>1</v>
      </c>
      <c r="F18">
        <v>363</v>
      </c>
      <c r="G18">
        <v>261</v>
      </c>
      <c r="H18">
        <v>139.08000000000001</v>
      </c>
      <c r="I18">
        <v>45.37</v>
      </c>
      <c r="J18" s="10">
        <v>582.17000000000007</v>
      </c>
      <c r="K18" s="10">
        <v>17</v>
      </c>
      <c r="L18">
        <v>109</v>
      </c>
      <c r="M18" t="s">
        <v>39</v>
      </c>
      <c r="N18" s="3">
        <v>43821</v>
      </c>
      <c r="O18">
        <v>1</v>
      </c>
      <c r="P18">
        <v>3</v>
      </c>
      <c r="Q18">
        <v>23</v>
      </c>
      <c r="R18">
        <v>16</v>
      </c>
      <c r="S18">
        <v>47</v>
      </c>
      <c r="T18">
        <v>198</v>
      </c>
      <c r="U18">
        <v>51.03</v>
      </c>
      <c r="V18" t="s">
        <v>138</v>
      </c>
      <c r="W18">
        <v>96</v>
      </c>
      <c r="X18" t="s">
        <v>126</v>
      </c>
      <c r="Y18" t="s">
        <v>42</v>
      </c>
      <c r="Z18" t="s">
        <v>39</v>
      </c>
      <c r="AA18" t="str">
        <f t="shared" si="0"/>
        <v>Dec</v>
      </c>
    </row>
    <row r="19" spans="1:27" x14ac:dyDescent="0.3">
      <c r="A19" t="s">
        <v>74</v>
      </c>
      <c r="B19" t="s">
        <v>54</v>
      </c>
      <c r="C19">
        <v>15</v>
      </c>
      <c r="D19">
        <v>15</v>
      </c>
      <c r="E19">
        <v>1</v>
      </c>
      <c r="F19">
        <v>361</v>
      </c>
      <c r="G19">
        <v>220</v>
      </c>
      <c r="H19">
        <v>164.09</v>
      </c>
      <c r="I19">
        <v>25.78</v>
      </c>
      <c r="J19" s="10">
        <v>578.26</v>
      </c>
      <c r="K19" s="10">
        <v>18</v>
      </c>
      <c r="L19">
        <v>67</v>
      </c>
      <c r="M19" t="s">
        <v>39</v>
      </c>
      <c r="N19" s="3">
        <v>43849</v>
      </c>
      <c r="O19">
        <v>0</v>
      </c>
      <c r="P19">
        <v>4</v>
      </c>
      <c r="Q19">
        <v>45</v>
      </c>
      <c r="R19">
        <v>12</v>
      </c>
      <c r="S19">
        <v>39</v>
      </c>
      <c r="T19">
        <v>184</v>
      </c>
      <c r="U19">
        <v>49.46</v>
      </c>
      <c r="V19" t="s">
        <v>142</v>
      </c>
      <c r="W19">
        <v>95</v>
      </c>
      <c r="X19" t="s">
        <v>132</v>
      </c>
      <c r="Y19" t="s">
        <v>30</v>
      </c>
      <c r="Z19" t="s">
        <v>39</v>
      </c>
      <c r="AA19" t="str">
        <f t="shared" si="0"/>
        <v>Jan</v>
      </c>
    </row>
    <row r="20" spans="1:27" x14ac:dyDescent="0.3">
      <c r="A20" t="s">
        <v>25</v>
      </c>
      <c r="B20" t="s">
        <v>33</v>
      </c>
      <c r="C20">
        <v>9</v>
      </c>
      <c r="D20">
        <v>9</v>
      </c>
      <c r="E20">
        <v>1</v>
      </c>
      <c r="F20">
        <v>357</v>
      </c>
      <c r="G20">
        <v>272</v>
      </c>
      <c r="H20">
        <v>131.25</v>
      </c>
      <c r="I20">
        <v>44.62</v>
      </c>
      <c r="J20" s="10">
        <v>574.87</v>
      </c>
      <c r="K20" s="10">
        <v>19</v>
      </c>
      <c r="L20">
        <v>103</v>
      </c>
      <c r="M20" t="s">
        <v>20</v>
      </c>
      <c r="N20" s="3">
        <v>43854</v>
      </c>
      <c r="O20">
        <v>1</v>
      </c>
      <c r="P20">
        <v>3</v>
      </c>
      <c r="Q20">
        <v>28</v>
      </c>
      <c r="R20">
        <v>14</v>
      </c>
      <c r="S20">
        <v>42</v>
      </c>
      <c r="T20">
        <v>196</v>
      </c>
      <c r="U20">
        <v>54.9</v>
      </c>
      <c r="V20" t="s">
        <v>143</v>
      </c>
      <c r="W20">
        <v>92</v>
      </c>
      <c r="X20" t="s">
        <v>130</v>
      </c>
      <c r="Y20" t="s">
        <v>23</v>
      </c>
      <c r="Z20" t="s">
        <v>27</v>
      </c>
      <c r="AA20" t="str">
        <f t="shared" si="0"/>
        <v>Jan</v>
      </c>
    </row>
    <row r="21" spans="1:27" x14ac:dyDescent="0.3">
      <c r="A21" t="s">
        <v>17</v>
      </c>
      <c r="B21" t="s">
        <v>33</v>
      </c>
      <c r="C21">
        <v>9</v>
      </c>
      <c r="D21">
        <v>8</v>
      </c>
      <c r="E21">
        <v>1</v>
      </c>
      <c r="F21">
        <v>351</v>
      </c>
      <c r="G21">
        <v>205</v>
      </c>
      <c r="H21">
        <v>171.21</v>
      </c>
      <c r="I21">
        <v>50.14</v>
      </c>
      <c r="J21" s="10">
        <v>574.51</v>
      </c>
      <c r="K21" s="10">
        <v>20</v>
      </c>
      <c r="L21">
        <v>130</v>
      </c>
      <c r="M21" t="s">
        <v>51</v>
      </c>
      <c r="N21" s="3">
        <v>43850</v>
      </c>
      <c r="O21">
        <v>1</v>
      </c>
      <c r="P21">
        <v>3</v>
      </c>
      <c r="Q21">
        <v>30</v>
      </c>
      <c r="R21">
        <v>15</v>
      </c>
      <c r="S21">
        <v>43</v>
      </c>
      <c r="T21">
        <v>188</v>
      </c>
      <c r="U21">
        <v>50</v>
      </c>
      <c r="V21" t="s">
        <v>144</v>
      </c>
      <c r="W21">
        <v>90</v>
      </c>
      <c r="X21" t="s">
        <v>126</v>
      </c>
      <c r="Y21" t="s">
        <v>30</v>
      </c>
      <c r="Z21" t="s">
        <v>51</v>
      </c>
      <c r="AA21" t="str">
        <f t="shared" si="0"/>
        <v>Jan</v>
      </c>
    </row>
    <row r="22" spans="1:27" x14ac:dyDescent="0.3">
      <c r="A22" t="s">
        <v>81</v>
      </c>
      <c r="B22" t="s">
        <v>42</v>
      </c>
      <c r="C22">
        <v>14</v>
      </c>
      <c r="D22">
        <v>14</v>
      </c>
      <c r="E22">
        <v>2</v>
      </c>
      <c r="F22">
        <v>348</v>
      </c>
      <c r="G22">
        <v>268</v>
      </c>
      <c r="H22">
        <v>129.85</v>
      </c>
      <c r="I22">
        <v>29</v>
      </c>
      <c r="J22" s="10">
        <v>546.85</v>
      </c>
      <c r="K22" s="10">
        <v>21</v>
      </c>
      <c r="L22">
        <v>65</v>
      </c>
      <c r="M22" t="s">
        <v>34</v>
      </c>
      <c r="N22" s="3">
        <v>43816</v>
      </c>
      <c r="O22">
        <v>0</v>
      </c>
      <c r="P22">
        <v>3</v>
      </c>
      <c r="Q22">
        <v>27</v>
      </c>
      <c r="R22">
        <v>13</v>
      </c>
      <c r="S22">
        <v>40</v>
      </c>
      <c r="T22">
        <v>186</v>
      </c>
      <c r="U22">
        <v>53.44</v>
      </c>
      <c r="V22" t="s">
        <v>145</v>
      </c>
      <c r="W22">
        <v>89</v>
      </c>
      <c r="X22" t="s">
        <v>130</v>
      </c>
      <c r="Y22" t="s">
        <v>54</v>
      </c>
      <c r="Z22" t="s">
        <v>66</v>
      </c>
      <c r="AA22" t="str">
        <f t="shared" si="0"/>
        <v>Dec</v>
      </c>
    </row>
    <row r="23" spans="1:27" x14ac:dyDescent="0.3">
      <c r="A23" t="s">
        <v>93</v>
      </c>
      <c r="B23" t="s">
        <v>42</v>
      </c>
      <c r="C23">
        <v>15</v>
      </c>
      <c r="D23">
        <v>15</v>
      </c>
      <c r="E23">
        <v>1</v>
      </c>
      <c r="F23">
        <v>323</v>
      </c>
      <c r="G23">
        <v>262</v>
      </c>
      <c r="H23">
        <v>123.28</v>
      </c>
      <c r="I23">
        <v>23.07</v>
      </c>
      <c r="J23" s="10">
        <v>507.98</v>
      </c>
      <c r="K23" s="10">
        <v>22</v>
      </c>
      <c r="L23">
        <v>51</v>
      </c>
      <c r="M23" t="s">
        <v>20</v>
      </c>
      <c r="N23" s="3">
        <v>43830</v>
      </c>
      <c r="O23">
        <v>0</v>
      </c>
      <c r="P23">
        <v>1</v>
      </c>
      <c r="Q23">
        <v>24</v>
      </c>
      <c r="R23">
        <v>9</v>
      </c>
      <c r="S23">
        <v>37</v>
      </c>
      <c r="T23">
        <v>164</v>
      </c>
      <c r="U23">
        <v>55.21</v>
      </c>
      <c r="V23" t="s">
        <v>146</v>
      </c>
      <c r="W23">
        <v>87</v>
      </c>
      <c r="X23" t="s">
        <v>130</v>
      </c>
      <c r="Y23" t="s">
        <v>23</v>
      </c>
      <c r="Z23" t="s">
        <v>34</v>
      </c>
      <c r="AA23" t="str">
        <f t="shared" si="0"/>
        <v>Dec</v>
      </c>
    </row>
    <row r="24" spans="1:27" x14ac:dyDescent="0.3">
      <c r="A24" t="s">
        <v>50</v>
      </c>
      <c r="B24" t="s">
        <v>23</v>
      </c>
      <c r="C24">
        <v>14</v>
      </c>
      <c r="D24">
        <v>11</v>
      </c>
      <c r="E24">
        <v>3</v>
      </c>
      <c r="F24">
        <v>297</v>
      </c>
      <c r="G24">
        <v>217</v>
      </c>
      <c r="H24">
        <v>136.86000000000001</v>
      </c>
      <c r="I24">
        <v>37.119999999999997</v>
      </c>
      <c r="J24" s="10">
        <v>502.34999999999997</v>
      </c>
      <c r="K24" s="10">
        <v>23</v>
      </c>
      <c r="L24">
        <v>83</v>
      </c>
      <c r="M24" t="s">
        <v>27</v>
      </c>
      <c r="N24" s="3">
        <v>43837</v>
      </c>
      <c r="O24">
        <v>0</v>
      </c>
      <c r="P24">
        <v>2</v>
      </c>
      <c r="Q24">
        <v>29</v>
      </c>
      <c r="R24">
        <v>8</v>
      </c>
      <c r="S24">
        <v>33</v>
      </c>
      <c r="T24">
        <v>150</v>
      </c>
      <c r="U24">
        <v>46.43</v>
      </c>
      <c r="V24" t="s">
        <v>147</v>
      </c>
      <c r="W24">
        <v>86</v>
      </c>
      <c r="X24" t="s">
        <v>132</v>
      </c>
      <c r="Y24" t="s">
        <v>54</v>
      </c>
      <c r="Z24" t="s">
        <v>27</v>
      </c>
      <c r="AA24" t="str">
        <f t="shared" si="0"/>
        <v>Jan</v>
      </c>
    </row>
    <row r="25" spans="1:27" x14ac:dyDescent="0.3">
      <c r="A25" t="s">
        <v>89</v>
      </c>
      <c r="B25" t="s">
        <v>33</v>
      </c>
      <c r="C25">
        <v>14</v>
      </c>
      <c r="D25">
        <v>13</v>
      </c>
      <c r="E25">
        <v>3</v>
      </c>
      <c r="F25">
        <v>290</v>
      </c>
      <c r="G25">
        <v>257</v>
      </c>
      <c r="H25">
        <v>112.84</v>
      </c>
      <c r="I25">
        <v>29</v>
      </c>
      <c r="J25" s="10">
        <v>486.91</v>
      </c>
      <c r="K25" s="10">
        <v>24</v>
      </c>
      <c r="L25">
        <v>51</v>
      </c>
      <c r="M25" t="s">
        <v>39</v>
      </c>
      <c r="N25" s="3">
        <v>43843</v>
      </c>
      <c r="O25">
        <v>0</v>
      </c>
      <c r="P25">
        <v>2</v>
      </c>
      <c r="Q25">
        <v>16</v>
      </c>
      <c r="R25">
        <v>7</v>
      </c>
      <c r="S25">
        <v>38</v>
      </c>
      <c r="T25">
        <v>172</v>
      </c>
      <c r="U25">
        <v>61.64</v>
      </c>
      <c r="V25" t="s">
        <v>148</v>
      </c>
      <c r="W25">
        <v>86</v>
      </c>
      <c r="X25" t="s">
        <v>126</v>
      </c>
      <c r="Y25" t="s">
        <v>23</v>
      </c>
      <c r="Z25" t="s">
        <v>66</v>
      </c>
      <c r="AA25" t="str">
        <f t="shared" si="0"/>
        <v>Jan</v>
      </c>
    </row>
    <row r="26" spans="1:27" x14ac:dyDescent="0.3">
      <c r="A26" t="s">
        <v>62</v>
      </c>
      <c r="B26" t="s">
        <v>45</v>
      </c>
      <c r="C26">
        <v>12</v>
      </c>
      <c r="D26">
        <v>12</v>
      </c>
      <c r="E26">
        <v>1</v>
      </c>
      <c r="F26">
        <v>279</v>
      </c>
      <c r="G26">
        <v>193</v>
      </c>
      <c r="H26">
        <v>144.55000000000001</v>
      </c>
      <c r="I26">
        <v>25.36</v>
      </c>
      <c r="J26" s="10">
        <v>466.6</v>
      </c>
      <c r="K26" s="10">
        <v>25</v>
      </c>
      <c r="L26">
        <v>73</v>
      </c>
      <c r="M26" t="s">
        <v>66</v>
      </c>
      <c r="N26" s="3">
        <v>43850</v>
      </c>
      <c r="O26">
        <v>0</v>
      </c>
      <c r="P26">
        <v>2</v>
      </c>
      <c r="Q26">
        <v>28</v>
      </c>
      <c r="R26">
        <v>10</v>
      </c>
      <c r="S26">
        <v>27</v>
      </c>
      <c r="T26">
        <v>138</v>
      </c>
      <c r="U26">
        <v>51.68</v>
      </c>
      <c r="V26" t="s">
        <v>149</v>
      </c>
      <c r="W26">
        <v>85</v>
      </c>
      <c r="X26" t="s">
        <v>135</v>
      </c>
      <c r="Y26" t="s">
        <v>23</v>
      </c>
      <c r="Z26" t="s">
        <v>39</v>
      </c>
      <c r="AA26" t="str">
        <f t="shared" si="0"/>
        <v>Jan</v>
      </c>
    </row>
    <row r="27" spans="1:27" x14ac:dyDescent="0.3">
      <c r="A27" t="s">
        <v>65</v>
      </c>
      <c r="B27" t="s">
        <v>19</v>
      </c>
      <c r="C27">
        <v>14</v>
      </c>
      <c r="D27">
        <v>14</v>
      </c>
      <c r="E27">
        <v>3</v>
      </c>
      <c r="F27">
        <v>267</v>
      </c>
      <c r="G27">
        <v>180</v>
      </c>
      <c r="H27">
        <v>148.33000000000001</v>
      </c>
      <c r="I27">
        <v>24.27</v>
      </c>
      <c r="J27" s="10">
        <v>465.83000000000004</v>
      </c>
      <c r="K27" s="10">
        <v>26</v>
      </c>
      <c r="L27">
        <v>72</v>
      </c>
      <c r="M27" t="s">
        <v>20</v>
      </c>
      <c r="N27" s="3">
        <v>43856</v>
      </c>
      <c r="O27">
        <v>0</v>
      </c>
      <c r="P27">
        <v>1</v>
      </c>
      <c r="Q27">
        <v>12</v>
      </c>
      <c r="R27">
        <v>15</v>
      </c>
      <c r="S27">
        <v>34</v>
      </c>
      <c r="T27">
        <v>168</v>
      </c>
      <c r="U27">
        <v>75.33</v>
      </c>
      <c r="V27" t="s">
        <v>150</v>
      </c>
      <c r="W27">
        <v>84</v>
      </c>
      <c r="X27" t="s">
        <v>132</v>
      </c>
      <c r="Y27" t="s">
        <v>30</v>
      </c>
      <c r="Z27" t="s">
        <v>14</v>
      </c>
      <c r="AA27" t="str">
        <f t="shared" si="0"/>
        <v>Jan</v>
      </c>
    </row>
    <row r="28" spans="1:27" x14ac:dyDescent="0.3">
      <c r="A28" t="s">
        <v>95</v>
      </c>
      <c r="B28" t="s">
        <v>30</v>
      </c>
      <c r="C28">
        <v>16</v>
      </c>
      <c r="D28">
        <v>15</v>
      </c>
      <c r="E28">
        <v>2</v>
      </c>
      <c r="F28">
        <v>267</v>
      </c>
      <c r="G28">
        <v>215</v>
      </c>
      <c r="H28">
        <v>124.18</v>
      </c>
      <c r="I28">
        <v>20.53</v>
      </c>
      <c r="J28" s="10">
        <v>454.84000000000003</v>
      </c>
      <c r="K28" s="10">
        <v>27</v>
      </c>
      <c r="L28">
        <v>40</v>
      </c>
      <c r="M28" t="s">
        <v>66</v>
      </c>
      <c r="N28" s="3">
        <v>43855</v>
      </c>
      <c r="O28">
        <v>0</v>
      </c>
      <c r="P28">
        <v>0</v>
      </c>
      <c r="Q28">
        <v>28</v>
      </c>
      <c r="R28">
        <v>4</v>
      </c>
      <c r="S28">
        <v>23</v>
      </c>
      <c r="T28">
        <v>106</v>
      </c>
      <c r="U28">
        <v>36.549999999999997</v>
      </c>
      <c r="V28" t="s">
        <v>150</v>
      </c>
      <c r="W28">
        <v>84</v>
      </c>
      <c r="X28" t="s">
        <v>126</v>
      </c>
      <c r="Y28" t="s">
        <v>30</v>
      </c>
      <c r="Z28" t="s">
        <v>48</v>
      </c>
      <c r="AA28" t="str">
        <f t="shared" si="0"/>
        <v>Jan</v>
      </c>
    </row>
    <row r="29" spans="1:27" x14ac:dyDescent="0.3">
      <c r="A29" t="s">
        <v>91</v>
      </c>
      <c r="B29" t="s">
        <v>19</v>
      </c>
      <c r="C29">
        <v>15</v>
      </c>
      <c r="D29">
        <v>14</v>
      </c>
      <c r="E29">
        <v>4</v>
      </c>
      <c r="F29">
        <v>265</v>
      </c>
      <c r="G29">
        <v>216</v>
      </c>
      <c r="H29">
        <v>122.68</v>
      </c>
      <c r="I29">
        <v>26.5</v>
      </c>
      <c r="J29" s="10">
        <v>443.71000000000004</v>
      </c>
      <c r="K29" s="10">
        <v>28</v>
      </c>
      <c r="L29">
        <v>51</v>
      </c>
      <c r="M29" t="s">
        <v>48</v>
      </c>
      <c r="N29" s="3">
        <v>43851</v>
      </c>
      <c r="O29">
        <v>0</v>
      </c>
      <c r="P29">
        <v>1</v>
      </c>
      <c r="Q29">
        <v>11</v>
      </c>
      <c r="R29">
        <v>11</v>
      </c>
      <c r="S29">
        <v>32</v>
      </c>
      <c r="T29">
        <v>136</v>
      </c>
      <c r="U29">
        <v>50.93</v>
      </c>
      <c r="V29" t="s">
        <v>141</v>
      </c>
      <c r="W29">
        <v>84</v>
      </c>
      <c r="X29" t="s">
        <v>126</v>
      </c>
      <c r="Y29" t="s">
        <v>19</v>
      </c>
      <c r="Z29" t="s">
        <v>48</v>
      </c>
      <c r="AA29" t="str">
        <f t="shared" si="0"/>
        <v>Jan</v>
      </c>
    </row>
    <row r="30" spans="1:27" x14ac:dyDescent="0.3">
      <c r="A30" t="s">
        <v>86</v>
      </c>
      <c r="B30" t="s">
        <v>33</v>
      </c>
      <c r="C30">
        <v>9</v>
      </c>
      <c r="D30">
        <v>8</v>
      </c>
      <c r="E30">
        <v>2</v>
      </c>
      <c r="F30">
        <v>230</v>
      </c>
      <c r="G30">
        <v>182</v>
      </c>
      <c r="H30">
        <v>126.37</v>
      </c>
      <c r="I30">
        <v>38.33</v>
      </c>
      <c r="J30" s="10">
        <v>436.18</v>
      </c>
      <c r="K30" s="10">
        <v>29</v>
      </c>
      <c r="L30">
        <v>59</v>
      </c>
      <c r="M30" t="s">
        <v>20</v>
      </c>
      <c r="N30" s="3">
        <v>43822</v>
      </c>
      <c r="O30">
        <v>0</v>
      </c>
      <c r="P30">
        <v>2</v>
      </c>
      <c r="Q30">
        <v>27</v>
      </c>
      <c r="R30">
        <v>6</v>
      </c>
      <c r="S30">
        <v>22</v>
      </c>
      <c r="T30">
        <v>110</v>
      </c>
      <c r="U30">
        <v>41.5</v>
      </c>
      <c r="V30" t="s">
        <v>151</v>
      </c>
      <c r="W30">
        <v>83</v>
      </c>
      <c r="X30" t="s">
        <v>135</v>
      </c>
      <c r="Y30" t="s">
        <v>42</v>
      </c>
      <c r="Z30" t="s">
        <v>66</v>
      </c>
      <c r="AA30" t="str">
        <f t="shared" si="0"/>
        <v>Dec</v>
      </c>
    </row>
    <row r="31" spans="1:27" x14ac:dyDescent="0.3">
      <c r="A31" t="s">
        <v>57</v>
      </c>
      <c r="B31" t="s">
        <v>54</v>
      </c>
      <c r="C31">
        <v>8</v>
      </c>
      <c r="D31">
        <v>7</v>
      </c>
      <c r="E31">
        <v>0</v>
      </c>
      <c r="F31">
        <v>228</v>
      </c>
      <c r="G31">
        <v>162</v>
      </c>
      <c r="H31">
        <v>140.74</v>
      </c>
      <c r="I31">
        <v>32.57</v>
      </c>
      <c r="J31" s="10">
        <v>430.31</v>
      </c>
      <c r="K31" s="10">
        <v>30</v>
      </c>
      <c r="L31">
        <v>79</v>
      </c>
      <c r="M31" t="s">
        <v>66</v>
      </c>
      <c r="N31" s="3">
        <v>43826</v>
      </c>
      <c r="O31">
        <v>0</v>
      </c>
      <c r="P31">
        <v>1</v>
      </c>
      <c r="Q31">
        <v>19</v>
      </c>
      <c r="R31">
        <v>10</v>
      </c>
      <c r="S31">
        <v>29</v>
      </c>
      <c r="T31">
        <v>136</v>
      </c>
      <c r="U31">
        <v>59.64</v>
      </c>
      <c r="V31" t="s">
        <v>152</v>
      </c>
      <c r="W31">
        <v>81</v>
      </c>
      <c r="X31" t="s">
        <v>126</v>
      </c>
      <c r="Y31" t="s">
        <v>13</v>
      </c>
      <c r="Z31" t="s">
        <v>39</v>
      </c>
      <c r="AA31" t="str">
        <f t="shared" si="0"/>
        <v>Dec</v>
      </c>
    </row>
    <row r="32" spans="1:27" x14ac:dyDescent="0.3">
      <c r="A32" t="s">
        <v>82</v>
      </c>
      <c r="B32" t="s">
        <v>13</v>
      </c>
      <c r="C32">
        <v>7</v>
      </c>
      <c r="D32">
        <v>7</v>
      </c>
      <c r="E32">
        <v>0</v>
      </c>
      <c r="F32">
        <v>223</v>
      </c>
      <c r="G32">
        <v>126</v>
      </c>
      <c r="H32">
        <v>176.98</v>
      </c>
      <c r="I32">
        <v>31.85</v>
      </c>
      <c r="J32" s="10">
        <v>427.7</v>
      </c>
      <c r="K32" s="10">
        <v>31</v>
      </c>
      <c r="L32">
        <v>64</v>
      </c>
      <c r="M32" t="s">
        <v>48</v>
      </c>
      <c r="N32" s="3">
        <v>43834</v>
      </c>
      <c r="O32">
        <v>0</v>
      </c>
      <c r="P32">
        <v>3</v>
      </c>
      <c r="Q32">
        <v>18</v>
      </c>
      <c r="R32">
        <v>16</v>
      </c>
      <c r="S32">
        <v>33</v>
      </c>
      <c r="T32">
        <v>144</v>
      </c>
      <c r="U32">
        <v>62.6</v>
      </c>
      <c r="V32" t="s">
        <v>153</v>
      </c>
      <c r="W32">
        <v>80</v>
      </c>
      <c r="X32" t="s">
        <v>154</v>
      </c>
      <c r="Y32" t="s">
        <v>54</v>
      </c>
      <c r="Z32" t="s">
        <v>48</v>
      </c>
      <c r="AA32" t="str">
        <f t="shared" si="0"/>
        <v>Jan</v>
      </c>
    </row>
    <row r="33" spans="1:27" x14ac:dyDescent="0.3">
      <c r="A33" t="s">
        <v>92</v>
      </c>
      <c r="B33" t="s">
        <v>42</v>
      </c>
      <c r="C33">
        <v>14</v>
      </c>
      <c r="D33">
        <v>13</v>
      </c>
      <c r="E33">
        <v>4</v>
      </c>
      <c r="F33">
        <v>217</v>
      </c>
      <c r="G33">
        <v>177</v>
      </c>
      <c r="H33">
        <v>122.59</v>
      </c>
      <c r="I33">
        <v>24.11</v>
      </c>
      <c r="J33" s="10">
        <v>391.33</v>
      </c>
      <c r="K33" s="10">
        <v>32</v>
      </c>
      <c r="L33">
        <v>43</v>
      </c>
      <c r="M33" t="s">
        <v>48</v>
      </c>
      <c r="N33" s="3">
        <v>43818</v>
      </c>
      <c r="O33">
        <v>0</v>
      </c>
      <c r="P33">
        <v>0</v>
      </c>
      <c r="Q33">
        <v>17</v>
      </c>
      <c r="R33">
        <v>10</v>
      </c>
      <c r="S33">
        <v>18</v>
      </c>
      <c r="T33">
        <v>86</v>
      </c>
      <c r="U33">
        <v>53.75</v>
      </c>
      <c r="V33" t="s">
        <v>155</v>
      </c>
      <c r="W33">
        <v>79</v>
      </c>
      <c r="X33" t="s">
        <v>132</v>
      </c>
      <c r="Y33" t="s">
        <v>54</v>
      </c>
      <c r="Z33" t="s">
        <v>39</v>
      </c>
      <c r="AA33" t="str">
        <f t="shared" si="0"/>
        <v>Dec</v>
      </c>
    </row>
    <row r="34" spans="1:27" x14ac:dyDescent="0.3">
      <c r="A34" t="s">
        <v>35</v>
      </c>
      <c r="B34" t="s">
        <v>23</v>
      </c>
      <c r="C34">
        <v>14</v>
      </c>
      <c r="D34">
        <v>12</v>
      </c>
      <c r="E34">
        <v>3</v>
      </c>
      <c r="F34">
        <v>198</v>
      </c>
      <c r="G34">
        <v>151</v>
      </c>
      <c r="H34">
        <v>131.12</v>
      </c>
      <c r="I34">
        <v>22</v>
      </c>
      <c r="J34" s="10">
        <v>390.70000000000005</v>
      </c>
      <c r="K34" s="10">
        <v>33</v>
      </c>
      <c r="L34">
        <v>90</v>
      </c>
      <c r="M34" t="s">
        <v>27</v>
      </c>
      <c r="N34" s="3">
        <v>43820</v>
      </c>
      <c r="O34">
        <v>0</v>
      </c>
      <c r="P34">
        <v>1</v>
      </c>
      <c r="Q34">
        <v>10</v>
      </c>
      <c r="R34">
        <v>9</v>
      </c>
      <c r="S34">
        <v>27</v>
      </c>
      <c r="T34">
        <v>128</v>
      </c>
      <c r="U34">
        <v>58.98</v>
      </c>
      <c r="V34" t="s">
        <v>156</v>
      </c>
      <c r="W34">
        <v>77</v>
      </c>
      <c r="X34" t="s">
        <v>135</v>
      </c>
      <c r="Y34" t="s">
        <v>30</v>
      </c>
      <c r="Z34" t="s">
        <v>20</v>
      </c>
      <c r="AA34" t="str">
        <f t="shared" ref="AA34:AA51" si="1">TEXT(N34,"mmm")</f>
        <v>Dec</v>
      </c>
    </row>
    <row r="35" spans="1:27" x14ac:dyDescent="0.3">
      <c r="A35" t="s">
        <v>78</v>
      </c>
      <c r="B35" t="s">
        <v>54</v>
      </c>
      <c r="C35">
        <v>12</v>
      </c>
      <c r="D35">
        <v>10</v>
      </c>
      <c r="E35">
        <v>4</v>
      </c>
      <c r="F35">
        <v>188</v>
      </c>
      <c r="G35">
        <v>146</v>
      </c>
      <c r="H35">
        <v>128.76</v>
      </c>
      <c r="I35">
        <v>31.33</v>
      </c>
      <c r="J35" s="10">
        <v>370.12</v>
      </c>
      <c r="K35" s="10">
        <v>34</v>
      </c>
      <c r="L35">
        <v>65</v>
      </c>
      <c r="M35" t="s">
        <v>34</v>
      </c>
      <c r="N35" s="3">
        <v>43847</v>
      </c>
      <c r="O35">
        <v>0</v>
      </c>
      <c r="P35">
        <v>1</v>
      </c>
      <c r="Q35">
        <v>14</v>
      </c>
      <c r="R35">
        <v>5</v>
      </c>
      <c r="S35">
        <v>19</v>
      </c>
      <c r="T35">
        <v>94</v>
      </c>
      <c r="U35">
        <v>47.47</v>
      </c>
      <c r="V35" t="s">
        <v>157</v>
      </c>
      <c r="W35">
        <v>75</v>
      </c>
      <c r="X35" t="s">
        <v>130</v>
      </c>
      <c r="Y35" t="s">
        <v>33</v>
      </c>
      <c r="Z35" t="s">
        <v>39</v>
      </c>
      <c r="AA35" t="str">
        <f t="shared" si="1"/>
        <v>Jan</v>
      </c>
    </row>
    <row r="36" spans="1:27" x14ac:dyDescent="0.3">
      <c r="A36" t="s">
        <v>90</v>
      </c>
      <c r="B36" t="s">
        <v>45</v>
      </c>
      <c r="C36">
        <v>16</v>
      </c>
      <c r="D36">
        <v>10</v>
      </c>
      <c r="E36">
        <v>3</v>
      </c>
      <c r="F36">
        <v>188</v>
      </c>
      <c r="G36">
        <v>177</v>
      </c>
      <c r="H36">
        <v>106.21</v>
      </c>
      <c r="I36">
        <v>26.85</v>
      </c>
      <c r="J36" s="10">
        <v>367.09</v>
      </c>
      <c r="K36" s="10">
        <v>35</v>
      </c>
      <c r="L36">
        <v>36</v>
      </c>
      <c r="M36" t="s">
        <v>48</v>
      </c>
      <c r="N36" s="3">
        <v>43855</v>
      </c>
      <c r="O36">
        <v>0</v>
      </c>
      <c r="P36">
        <v>0</v>
      </c>
      <c r="Q36">
        <v>7</v>
      </c>
      <c r="R36">
        <v>3</v>
      </c>
      <c r="S36">
        <v>19</v>
      </c>
      <c r="T36">
        <v>86</v>
      </c>
      <c r="U36">
        <v>45.74</v>
      </c>
      <c r="V36" t="s">
        <v>158</v>
      </c>
      <c r="W36">
        <v>75</v>
      </c>
      <c r="X36" t="s">
        <v>126</v>
      </c>
      <c r="Y36" t="s">
        <v>45</v>
      </c>
      <c r="Z36" t="s">
        <v>34</v>
      </c>
      <c r="AA36" t="str">
        <f t="shared" si="1"/>
        <v>Jan</v>
      </c>
    </row>
    <row r="37" spans="1:27" x14ac:dyDescent="0.3">
      <c r="A37" t="s">
        <v>96</v>
      </c>
      <c r="B37" t="s">
        <v>42</v>
      </c>
      <c r="C37">
        <v>11</v>
      </c>
      <c r="D37">
        <v>10</v>
      </c>
      <c r="E37">
        <v>0</v>
      </c>
      <c r="F37">
        <v>181</v>
      </c>
      <c r="G37">
        <v>164</v>
      </c>
      <c r="H37">
        <v>110.36</v>
      </c>
      <c r="I37">
        <v>18.100000000000001</v>
      </c>
      <c r="J37" s="10">
        <v>366.75</v>
      </c>
      <c r="K37" s="10">
        <v>36</v>
      </c>
      <c r="L37">
        <v>31</v>
      </c>
      <c r="M37" t="s">
        <v>48</v>
      </c>
      <c r="N37" s="3">
        <v>43818</v>
      </c>
      <c r="O37">
        <v>0</v>
      </c>
      <c r="P37">
        <v>0</v>
      </c>
      <c r="Q37">
        <v>21</v>
      </c>
      <c r="R37">
        <v>1</v>
      </c>
      <c r="S37">
        <v>23</v>
      </c>
      <c r="T37">
        <v>108</v>
      </c>
      <c r="U37">
        <v>62.42</v>
      </c>
      <c r="V37" t="s">
        <v>159</v>
      </c>
      <c r="W37">
        <v>74</v>
      </c>
      <c r="X37" t="s">
        <v>132</v>
      </c>
      <c r="Y37" t="s">
        <v>23</v>
      </c>
      <c r="Z37" t="s">
        <v>39</v>
      </c>
      <c r="AA37" t="str">
        <f t="shared" si="1"/>
        <v>Dec</v>
      </c>
    </row>
    <row r="38" spans="1:27" x14ac:dyDescent="0.3">
      <c r="A38" t="s">
        <v>97</v>
      </c>
      <c r="B38" t="s">
        <v>19</v>
      </c>
      <c r="C38">
        <v>15</v>
      </c>
      <c r="D38">
        <v>13</v>
      </c>
      <c r="E38">
        <v>2</v>
      </c>
      <c r="F38">
        <v>176</v>
      </c>
      <c r="G38">
        <v>128</v>
      </c>
      <c r="H38">
        <v>137.5</v>
      </c>
      <c r="I38">
        <v>16</v>
      </c>
      <c r="J38" s="10">
        <v>348.5</v>
      </c>
      <c r="K38" s="10">
        <v>37</v>
      </c>
      <c r="L38">
        <v>41</v>
      </c>
      <c r="M38" t="s">
        <v>48</v>
      </c>
      <c r="N38" s="3">
        <v>43851</v>
      </c>
      <c r="O38">
        <v>0</v>
      </c>
      <c r="P38">
        <v>0</v>
      </c>
      <c r="Q38">
        <v>11</v>
      </c>
      <c r="R38">
        <v>8</v>
      </c>
      <c r="S38">
        <v>19</v>
      </c>
      <c r="T38">
        <v>92</v>
      </c>
      <c r="U38">
        <v>52.27</v>
      </c>
      <c r="V38" t="s">
        <v>160</v>
      </c>
      <c r="W38">
        <v>74</v>
      </c>
      <c r="X38" t="s">
        <v>135</v>
      </c>
      <c r="Y38" t="s">
        <v>19</v>
      </c>
      <c r="Z38" t="s">
        <v>48</v>
      </c>
      <c r="AA38" t="str">
        <f t="shared" si="1"/>
        <v>Jan</v>
      </c>
    </row>
    <row r="39" spans="1:27" x14ac:dyDescent="0.3">
      <c r="A39" t="s">
        <v>94</v>
      </c>
      <c r="B39" t="s">
        <v>54</v>
      </c>
      <c r="C39">
        <v>14</v>
      </c>
      <c r="D39">
        <v>9</v>
      </c>
      <c r="E39">
        <v>1</v>
      </c>
      <c r="F39">
        <v>173</v>
      </c>
      <c r="G39">
        <v>116</v>
      </c>
      <c r="H39">
        <v>149.13</v>
      </c>
      <c r="I39">
        <v>21.62</v>
      </c>
      <c r="J39" s="10">
        <v>339.87</v>
      </c>
      <c r="K39" s="10">
        <v>38</v>
      </c>
      <c r="L39">
        <v>43</v>
      </c>
      <c r="M39" t="s">
        <v>39</v>
      </c>
      <c r="N39" s="3">
        <v>43856</v>
      </c>
      <c r="O39">
        <v>0</v>
      </c>
      <c r="P39">
        <v>0</v>
      </c>
      <c r="Q39">
        <v>15</v>
      </c>
      <c r="R39">
        <v>8</v>
      </c>
      <c r="S39">
        <v>16</v>
      </c>
      <c r="T39">
        <v>74</v>
      </c>
      <c r="U39">
        <v>49.66</v>
      </c>
      <c r="V39" t="s">
        <v>161</v>
      </c>
      <c r="W39">
        <v>73</v>
      </c>
      <c r="X39" t="s">
        <v>130</v>
      </c>
      <c r="Y39" t="s">
        <v>45</v>
      </c>
      <c r="Z39" t="s">
        <v>48</v>
      </c>
      <c r="AA39" t="str">
        <f t="shared" si="1"/>
        <v>Jan</v>
      </c>
    </row>
    <row r="40" spans="1:27" x14ac:dyDescent="0.3">
      <c r="A40" t="s">
        <v>85</v>
      </c>
      <c r="B40" t="s">
        <v>13</v>
      </c>
      <c r="C40">
        <v>6</v>
      </c>
      <c r="D40">
        <v>6</v>
      </c>
      <c r="E40">
        <v>3</v>
      </c>
      <c r="F40">
        <v>160</v>
      </c>
      <c r="G40">
        <v>100</v>
      </c>
      <c r="H40">
        <v>160</v>
      </c>
      <c r="I40">
        <v>53.33</v>
      </c>
      <c r="J40" s="10">
        <v>331.46000000000004</v>
      </c>
      <c r="K40" s="10">
        <v>39</v>
      </c>
      <c r="L40">
        <v>63</v>
      </c>
      <c r="M40" t="s">
        <v>20</v>
      </c>
      <c r="N40" s="3">
        <v>43852</v>
      </c>
      <c r="O40">
        <v>0</v>
      </c>
      <c r="P40">
        <v>1</v>
      </c>
      <c r="Q40">
        <v>11</v>
      </c>
      <c r="R40">
        <v>7</v>
      </c>
      <c r="S40">
        <v>22</v>
      </c>
      <c r="T40">
        <v>90</v>
      </c>
      <c r="U40">
        <v>49.72</v>
      </c>
      <c r="V40" t="s">
        <v>162</v>
      </c>
      <c r="W40">
        <v>73</v>
      </c>
      <c r="X40" t="s">
        <v>126</v>
      </c>
      <c r="Y40" t="s">
        <v>45</v>
      </c>
      <c r="Z40" t="s">
        <v>27</v>
      </c>
      <c r="AA40" t="str">
        <f t="shared" si="1"/>
        <v>Jan</v>
      </c>
    </row>
    <row r="41" spans="1:27" x14ac:dyDescent="0.3">
      <c r="A41" t="s">
        <v>68</v>
      </c>
      <c r="B41" t="s">
        <v>13</v>
      </c>
      <c r="C41">
        <v>5</v>
      </c>
      <c r="D41">
        <v>4</v>
      </c>
      <c r="E41">
        <v>1</v>
      </c>
      <c r="F41">
        <v>149</v>
      </c>
      <c r="G41">
        <v>119</v>
      </c>
      <c r="H41">
        <v>125.21</v>
      </c>
      <c r="I41">
        <v>49.66</v>
      </c>
      <c r="J41" s="10">
        <v>331.06</v>
      </c>
      <c r="K41" s="10">
        <v>40</v>
      </c>
      <c r="L41">
        <v>70</v>
      </c>
      <c r="M41" t="s">
        <v>51</v>
      </c>
      <c r="N41" s="3">
        <v>43832</v>
      </c>
      <c r="O41">
        <v>0</v>
      </c>
      <c r="P41">
        <v>2</v>
      </c>
      <c r="Q41">
        <v>11</v>
      </c>
      <c r="R41">
        <v>5</v>
      </c>
      <c r="S41">
        <v>10</v>
      </c>
      <c r="T41">
        <v>46</v>
      </c>
      <c r="U41">
        <v>24.46</v>
      </c>
      <c r="V41" t="s">
        <v>163</v>
      </c>
      <c r="W41">
        <v>73</v>
      </c>
      <c r="X41" t="s">
        <v>132</v>
      </c>
      <c r="Y41" t="s">
        <v>42</v>
      </c>
      <c r="Z41" t="s">
        <v>20</v>
      </c>
      <c r="AA41" t="str">
        <f t="shared" si="1"/>
        <v>Jan</v>
      </c>
    </row>
    <row r="42" spans="1:27" x14ac:dyDescent="0.3">
      <c r="A42" t="s">
        <v>67</v>
      </c>
      <c r="B42" t="s">
        <v>30</v>
      </c>
      <c r="C42">
        <v>6</v>
      </c>
      <c r="D42">
        <v>6</v>
      </c>
      <c r="E42">
        <v>0</v>
      </c>
      <c r="F42">
        <v>146</v>
      </c>
      <c r="G42">
        <v>104</v>
      </c>
      <c r="H42">
        <v>140.38</v>
      </c>
      <c r="I42">
        <v>24.33</v>
      </c>
      <c r="J42" s="10">
        <v>327.06</v>
      </c>
      <c r="K42" s="10">
        <v>41</v>
      </c>
      <c r="L42">
        <v>71</v>
      </c>
      <c r="M42" t="s">
        <v>39</v>
      </c>
      <c r="N42" s="3">
        <v>43833</v>
      </c>
      <c r="O42">
        <v>0</v>
      </c>
      <c r="P42">
        <v>1</v>
      </c>
      <c r="Q42">
        <v>8</v>
      </c>
      <c r="R42">
        <v>6</v>
      </c>
      <c r="S42">
        <v>24</v>
      </c>
      <c r="T42">
        <v>106</v>
      </c>
      <c r="U42">
        <v>73.099999999999994</v>
      </c>
      <c r="V42" t="s">
        <v>146</v>
      </c>
      <c r="W42">
        <v>73</v>
      </c>
      <c r="X42" t="s">
        <v>130</v>
      </c>
      <c r="Y42" t="s">
        <v>23</v>
      </c>
      <c r="Z42" t="s">
        <v>14</v>
      </c>
      <c r="AA42" t="str">
        <f t="shared" si="1"/>
        <v>Jan</v>
      </c>
    </row>
    <row r="43" spans="1:27" x14ac:dyDescent="0.3">
      <c r="A43" t="s">
        <v>80</v>
      </c>
      <c r="B43" t="s">
        <v>30</v>
      </c>
      <c r="C43">
        <v>10</v>
      </c>
      <c r="D43">
        <v>10</v>
      </c>
      <c r="E43">
        <v>0</v>
      </c>
      <c r="F43">
        <v>145</v>
      </c>
      <c r="G43">
        <v>101</v>
      </c>
      <c r="H43">
        <v>143.56</v>
      </c>
      <c r="I43">
        <v>14.5</v>
      </c>
      <c r="J43" s="10">
        <v>326.89</v>
      </c>
      <c r="K43" s="10">
        <v>42</v>
      </c>
      <c r="L43">
        <v>65</v>
      </c>
      <c r="M43" t="s">
        <v>48</v>
      </c>
      <c r="N43" s="3">
        <v>43857</v>
      </c>
      <c r="O43">
        <v>0</v>
      </c>
      <c r="P43">
        <v>1</v>
      </c>
      <c r="Q43">
        <v>19</v>
      </c>
      <c r="R43">
        <v>5</v>
      </c>
      <c r="S43">
        <v>15</v>
      </c>
      <c r="T43">
        <v>66</v>
      </c>
      <c r="U43">
        <v>55</v>
      </c>
      <c r="V43" t="s">
        <v>164</v>
      </c>
      <c r="W43">
        <v>72</v>
      </c>
      <c r="X43" t="s">
        <v>126</v>
      </c>
      <c r="Y43" t="s">
        <v>45</v>
      </c>
      <c r="Z43" t="s">
        <v>20</v>
      </c>
      <c r="AA43" t="str">
        <f t="shared" si="1"/>
        <v>Jan</v>
      </c>
    </row>
    <row r="44" spans="1:27" x14ac:dyDescent="0.3">
      <c r="A44" t="s">
        <v>98</v>
      </c>
      <c r="B44" t="s">
        <v>30</v>
      </c>
      <c r="C44">
        <v>14</v>
      </c>
      <c r="D44">
        <v>14</v>
      </c>
      <c r="E44">
        <v>0</v>
      </c>
      <c r="F44">
        <v>143</v>
      </c>
      <c r="G44">
        <v>161</v>
      </c>
      <c r="H44">
        <v>88.81</v>
      </c>
      <c r="I44">
        <v>10.210000000000001</v>
      </c>
      <c r="J44" s="10">
        <v>324.70999999999998</v>
      </c>
      <c r="K44" s="10">
        <v>43</v>
      </c>
      <c r="L44">
        <v>40</v>
      </c>
      <c r="M44" t="s">
        <v>66</v>
      </c>
      <c r="N44" s="3">
        <v>43819</v>
      </c>
      <c r="O44">
        <v>0</v>
      </c>
      <c r="P44">
        <v>0</v>
      </c>
      <c r="Q44">
        <v>17</v>
      </c>
      <c r="R44">
        <v>2</v>
      </c>
      <c r="S44">
        <v>14</v>
      </c>
      <c r="T44">
        <v>68</v>
      </c>
      <c r="U44">
        <v>46.57</v>
      </c>
      <c r="V44" t="s">
        <v>153</v>
      </c>
      <c r="W44">
        <v>71</v>
      </c>
      <c r="X44" t="s">
        <v>154</v>
      </c>
      <c r="Y44" t="s">
        <v>54</v>
      </c>
      <c r="Z44" t="s">
        <v>66</v>
      </c>
      <c r="AA44" t="str">
        <f t="shared" si="1"/>
        <v>Dec</v>
      </c>
    </row>
    <row r="45" spans="1:27" x14ac:dyDescent="0.3">
      <c r="A45" t="s">
        <v>99</v>
      </c>
      <c r="B45" t="s">
        <v>19</v>
      </c>
      <c r="C45">
        <v>8</v>
      </c>
      <c r="D45">
        <v>8</v>
      </c>
      <c r="E45">
        <v>0</v>
      </c>
      <c r="F45">
        <v>133</v>
      </c>
      <c r="G45">
        <v>104</v>
      </c>
      <c r="H45">
        <v>127.88</v>
      </c>
      <c r="I45">
        <v>16.62</v>
      </c>
      <c r="J45" s="10">
        <v>318.43</v>
      </c>
      <c r="K45" s="10">
        <v>44</v>
      </c>
      <c r="L45">
        <v>56</v>
      </c>
      <c r="M45" t="s">
        <v>51</v>
      </c>
      <c r="N45" s="3">
        <v>43854</v>
      </c>
      <c r="O45">
        <v>0</v>
      </c>
      <c r="P45">
        <v>1</v>
      </c>
      <c r="Q45">
        <v>16</v>
      </c>
      <c r="R45">
        <v>2</v>
      </c>
      <c r="S45">
        <v>17</v>
      </c>
      <c r="T45">
        <v>76</v>
      </c>
      <c r="U45">
        <v>57.14</v>
      </c>
      <c r="V45" t="s">
        <v>165</v>
      </c>
      <c r="W45">
        <v>71</v>
      </c>
      <c r="X45" t="s">
        <v>135</v>
      </c>
      <c r="Y45" t="s">
        <v>54</v>
      </c>
      <c r="Z45" t="s">
        <v>27</v>
      </c>
      <c r="AA45" t="str">
        <f t="shared" si="1"/>
        <v>Jan</v>
      </c>
    </row>
    <row r="46" spans="1:27" x14ac:dyDescent="0.3">
      <c r="A46" t="s">
        <v>100</v>
      </c>
      <c r="B46" t="s">
        <v>23</v>
      </c>
      <c r="C46">
        <v>14</v>
      </c>
      <c r="D46">
        <v>10</v>
      </c>
      <c r="E46">
        <v>3</v>
      </c>
      <c r="F46">
        <v>133</v>
      </c>
      <c r="G46">
        <v>89</v>
      </c>
      <c r="H46">
        <v>149.43</v>
      </c>
      <c r="I46">
        <v>19</v>
      </c>
      <c r="J46" s="10">
        <v>310.58000000000004</v>
      </c>
      <c r="K46" s="10">
        <v>45</v>
      </c>
      <c r="L46">
        <v>43</v>
      </c>
      <c r="M46" t="s">
        <v>34</v>
      </c>
      <c r="N46" s="3">
        <v>43857</v>
      </c>
      <c r="O46">
        <v>0</v>
      </c>
      <c r="P46">
        <v>0</v>
      </c>
      <c r="Q46">
        <v>13</v>
      </c>
      <c r="R46">
        <v>4</v>
      </c>
      <c r="S46">
        <v>18</v>
      </c>
      <c r="T46">
        <v>88</v>
      </c>
      <c r="U46">
        <v>70.959999999999994</v>
      </c>
      <c r="V46" t="s">
        <v>166</v>
      </c>
      <c r="W46">
        <v>71</v>
      </c>
      <c r="X46" t="s">
        <v>130</v>
      </c>
      <c r="Y46" t="s">
        <v>23</v>
      </c>
      <c r="Z46" t="s">
        <v>27</v>
      </c>
      <c r="AA46" t="str">
        <f t="shared" si="1"/>
        <v>Jan</v>
      </c>
    </row>
    <row r="47" spans="1:27" x14ac:dyDescent="0.3">
      <c r="A47" t="s">
        <v>101</v>
      </c>
      <c r="B47" t="s">
        <v>42</v>
      </c>
      <c r="C47">
        <v>14</v>
      </c>
      <c r="D47">
        <v>14</v>
      </c>
      <c r="E47">
        <v>4</v>
      </c>
      <c r="F47">
        <v>128</v>
      </c>
      <c r="G47">
        <v>101</v>
      </c>
      <c r="H47">
        <v>126.73</v>
      </c>
      <c r="I47">
        <v>12.8</v>
      </c>
      <c r="J47" s="10">
        <v>295.5</v>
      </c>
      <c r="K47" s="10">
        <v>46</v>
      </c>
      <c r="L47">
        <v>32</v>
      </c>
      <c r="M47" t="s">
        <v>20</v>
      </c>
      <c r="N47" s="3">
        <v>43830</v>
      </c>
      <c r="O47">
        <v>0</v>
      </c>
      <c r="P47">
        <v>0</v>
      </c>
      <c r="Q47">
        <v>8</v>
      </c>
      <c r="R47">
        <v>5</v>
      </c>
      <c r="S47">
        <v>18</v>
      </c>
      <c r="T47">
        <v>76</v>
      </c>
      <c r="U47">
        <v>57.14</v>
      </c>
      <c r="V47" t="s">
        <v>167</v>
      </c>
      <c r="W47">
        <v>71</v>
      </c>
      <c r="X47" t="s">
        <v>126</v>
      </c>
      <c r="Y47" t="s">
        <v>54</v>
      </c>
      <c r="Z47" t="s">
        <v>27</v>
      </c>
      <c r="AA47" t="str">
        <f t="shared" si="1"/>
        <v>Dec</v>
      </c>
    </row>
    <row r="48" spans="1:27" x14ac:dyDescent="0.3">
      <c r="A48" t="s">
        <v>102</v>
      </c>
      <c r="B48" t="s">
        <v>23</v>
      </c>
      <c r="C48">
        <v>15</v>
      </c>
      <c r="D48">
        <v>12</v>
      </c>
      <c r="E48">
        <v>4</v>
      </c>
      <c r="F48">
        <v>124</v>
      </c>
      <c r="G48">
        <v>81</v>
      </c>
      <c r="H48">
        <v>153.08000000000001</v>
      </c>
      <c r="I48">
        <v>15.5</v>
      </c>
      <c r="J48" s="10">
        <v>284.8</v>
      </c>
      <c r="K48" s="10">
        <v>47</v>
      </c>
      <c r="L48">
        <v>40</v>
      </c>
      <c r="M48" t="s">
        <v>66</v>
      </c>
      <c r="N48" s="3">
        <v>43840</v>
      </c>
      <c r="O48">
        <v>0</v>
      </c>
      <c r="P48">
        <v>0</v>
      </c>
      <c r="Q48">
        <v>10</v>
      </c>
      <c r="R48">
        <v>8</v>
      </c>
      <c r="S48">
        <v>13</v>
      </c>
      <c r="T48">
        <v>60</v>
      </c>
      <c r="U48">
        <v>53.57</v>
      </c>
      <c r="V48" t="s">
        <v>162</v>
      </c>
      <c r="W48">
        <v>70</v>
      </c>
      <c r="X48" t="s">
        <v>126</v>
      </c>
      <c r="Y48" t="s">
        <v>45</v>
      </c>
      <c r="Z48" t="s">
        <v>48</v>
      </c>
      <c r="AA48" t="str">
        <f t="shared" si="1"/>
        <v>Jan</v>
      </c>
    </row>
    <row r="49" spans="1:27" x14ac:dyDescent="0.3">
      <c r="A49" t="s">
        <v>75</v>
      </c>
      <c r="B49" t="s">
        <v>23</v>
      </c>
      <c r="C49">
        <v>4</v>
      </c>
      <c r="D49">
        <v>4</v>
      </c>
      <c r="E49">
        <v>1</v>
      </c>
      <c r="F49">
        <v>120</v>
      </c>
      <c r="G49">
        <v>79</v>
      </c>
      <c r="H49">
        <v>151.88999999999999</v>
      </c>
      <c r="I49">
        <v>40</v>
      </c>
      <c r="J49" s="10">
        <v>280.53000000000003</v>
      </c>
      <c r="K49" s="10">
        <v>48</v>
      </c>
      <c r="L49">
        <v>66</v>
      </c>
      <c r="M49" t="s">
        <v>39</v>
      </c>
      <c r="N49" s="3">
        <v>43851</v>
      </c>
      <c r="O49">
        <v>0</v>
      </c>
      <c r="P49">
        <v>1</v>
      </c>
      <c r="Q49">
        <v>12</v>
      </c>
      <c r="R49">
        <v>3</v>
      </c>
      <c r="S49">
        <v>13</v>
      </c>
      <c r="T49">
        <v>62</v>
      </c>
      <c r="U49">
        <v>48.43</v>
      </c>
      <c r="V49" t="s">
        <v>168</v>
      </c>
      <c r="W49">
        <v>70</v>
      </c>
      <c r="X49" t="s">
        <v>154</v>
      </c>
      <c r="Y49" t="s">
        <v>30</v>
      </c>
      <c r="Z49" t="s">
        <v>66</v>
      </c>
      <c r="AA49" t="str">
        <f t="shared" si="1"/>
        <v>Jan</v>
      </c>
    </row>
    <row r="50" spans="1:27" x14ac:dyDescent="0.3">
      <c r="A50" t="s">
        <v>103</v>
      </c>
      <c r="B50" t="s">
        <v>42</v>
      </c>
      <c r="C50">
        <v>9</v>
      </c>
      <c r="D50">
        <v>9</v>
      </c>
      <c r="E50">
        <v>0</v>
      </c>
      <c r="F50">
        <v>119</v>
      </c>
      <c r="G50">
        <v>113</v>
      </c>
      <c r="H50">
        <v>105.3</v>
      </c>
      <c r="I50">
        <v>13.22</v>
      </c>
      <c r="J50" s="10">
        <v>261.02</v>
      </c>
      <c r="K50" s="10">
        <v>49</v>
      </c>
      <c r="L50">
        <v>42</v>
      </c>
      <c r="M50" t="s">
        <v>39</v>
      </c>
      <c r="N50" s="3">
        <v>43854</v>
      </c>
      <c r="O50">
        <v>0</v>
      </c>
      <c r="P50">
        <v>0</v>
      </c>
      <c r="Q50">
        <v>9</v>
      </c>
      <c r="R50">
        <v>4</v>
      </c>
      <c r="S50">
        <v>19</v>
      </c>
      <c r="T50">
        <v>80</v>
      </c>
      <c r="U50">
        <v>55.94</v>
      </c>
      <c r="V50" t="s">
        <v>160</v>
      </c>
      <c r="W50">
        <v>69</v>
      </c>
      <c r="X50" t="s">
        <v>135</v>
      </c>
      <c r="Y50" t="s">
        <v>19</v>
      </c>
      <c r="Z50" t="s">
        <v>27</v>
      </c>
      <c r="AA50" t="str">
        <f t="shared" si="1"/>
        <v>Jan</v>
      </c>
    </row>
    <row r="51" spans="1:27" x14ac:dyDescent="0.3">
      <c r="A51" t="s">
        <v>104</v>
      </c>
      <c r="B51" t="s">
        <v>13</v>
      </c>
      <c r="C51">
        <v>15</v>
      </c>
      <c r="D51">
        <v>13</v>
      </c>
      <c r="E51">
        <v>4</v>
      </c>
      <c r="F51">
        <v>112</v>
      </c>
      <c r="G51">
        <v>76</v>
      </c>
      <c r="H51">
        <v>147.36000000000001</v>
      </c>
      <c r="I51">
        <v>12.44</v>
      </c>
      <c r="J51" s="10">
        <v>250.52</v>
      </c>
      <c r="K51" s="10">
        <v>50</v>
      </c>
      <c r="L51">
        <v>21</v>
      </c>
      <c r="M51" t="s">
        <v>14</v>
      </c>
      <c r="N51" s="3">
        <v>43850</v>
      </c>
      <c r="O51">
        <v>0</v>
      </c>
      <c r="P51">
        <v>0</v>
      </c>
      <c r="Q51">
        <v>9</v>
      </c>
      <c r="R51">
        <v>4</v>
      </c>
      <c r="S51">
        <v>13</v>
      </c>
      <c r="T51">
        <v>60</v>
      </c>
      <c r="U51">
        <v>50.42</v>
      </c>
      <c r="AA51" t="str">
        <f t="shared" si="1"/>
        <v>Jan</v>
      </c>
    </row>
  </sheetData>
  <sortState xmlns:xlrd2="http://schemas.microsoft.com/office/spreadsheetml/2017/richdata2" ref="A2:AA51">
    <sortCondition descending="1" ref="J2:J5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4D3F2-13B6-4E64-A7A4-06CA5DDAC1ED}">
  <dimension ref="A3:R24"/>
  <sheetViews>
    <sheetView topLeftCell="B1" zoomScale="91" workbookViewId="0">
      <selection activeCell="R4" sqref="R4"/>
    </sheetView>
  </sheetViews>
  <sheetFormatPr defaultRowHeight="14.4" x14ac:dyDescent="0.3"/>
  <cols>
    <col min="9" max="9" width="6.44140625" customWidth="1"/>
    <col min="10" max="10" width="11.109375" bestFit="1" customWidth="1"/>
    <col min="11" max="11" width="10.6640625" bestFit="1" customWidth="1"/>
    <col min="12" max="12" width="10.77734375" bestFit="1" customWidth="1"/>
    <col min="13" max="13" width="10.21875" bestFit="1" customWidth="1"/>
    <col min="16" max="16" width="16.109375" bestFit="1" customWidth="1"/>
    <col min="17" max="17" width="15.44140625" bestFit="1" customWidth="1"/>
    <col min="18" max="18" width="9.44140625" bestFit="1" customWidth="1"/>
  </cols>
  <sheetData>
    <row r="3" spans="9:18" x14ac:dyDescent="0.3">
      <c r="I3" s="9">
        <v>1</v>
      </c>
      <c r="J3" s="6" t="s">
        <v>175</v>
      </c>
      <c r="K3" t="s">
        <v>177</v>
      </c>
      <c r="O3" s="9">
        <v>2</v>
      </c>
      <c r="P3" s="6" t="s">
        <v>175</v>
      </c>
      <c r="Q3" t="s">
        <v>176</v>
      </c>
      <c r="R3" t="s">
        <v>178</v>
      </c>
    </row>
    <row r="4" spans="9:18" x14ac:dyDescent="0.3">
      <c r="J4" s="7" t="s">
        <v>84</v>
      </c>
      <c r="K4">
        <v>449</v>
      </c>
      <c r="P4" s="7" t="s">
        <v>68</v>
      </c>
      <c r="Q4" s="8">
        <v>49.66</v>
      </c>
      <c r="R4">
        <v>1</v>
      </c>
    </row>
    <row r="5" spans="9:18" x14ac:dyDescent="0.3">
      <c r="J5" s="7" t="s">
        <v>70</v>
      </c>
      <c r="K5">
        <v>478</v>
      </c>
      <c r="P5" s="7" t="s">
        <v>17</v>
      </c>
      <c r="Q5" s="8">
        <v>50.14</v>
      </c>
      <c r="R5">
        <v>1</v>
      </c>
    </row>
    <row r="6" spans="9:18" x14ac:dyDescent="0.3">
      <c r="J6" s="7" t="s">
        <v>43</v>
      </c>
      <c r="K6">
        <v>487</v>
      </c>
      <c r="P6" s="7" t="s">
        <v>85</v>
      </c>
      <c r="Q6" s="8">
        <v>53.33</v>
      </c>
      <c r="R6">
        <v>3</v>
      </c>
    </row>
    <row r="7" spans="9:18" x14ac:dyDescent="0.3">
      <c r="J7" s="7" t="s">
        <v>41</v>
      </c>
      <c r="K7">
        <v>576</v>
      </c>
      <c r="P7" s="7" t="s">
        <v>11</v>
      </c>
      <c r="Q7" s="8">
        <v>54.23</v>
      </c>
      <c r="R7">
        <v>4</v>
      </c>
    </row>
    <row r="8" spans="9:18" x14ac:dyDescent="0.3">
      <c r="J8" s="7" t="s">
        <v>11</v>
      </c>
      <c r="K8">
        <v>705</v>
      </c>
      <c r="P8" s="7" t="s">
        <v>70</v>
      </c>
      <c r="Q8" s="8">
        <v>68.28</v>
      </c>
      <c r="R8">
        <v>7</v>
      </c>
    </row>
    <row r="9" spans="9:18" x14ac:dyDescent="0.3">
      <c r="J9" s="7" t="s">
        <v>174</v>
      </c>
      <c r="K9">
        <v>2695</v>
      </c>
      <c r="P9" s="7" t="s">
        <v>174</v>
      </c>
      <c r="Q9" s="8">
        <v>55.128</v>
      </c>
      <c r="R9">
        <v>16</v>
      </c>
    </row>
    <row r="23" spans="1:18" x14ac:dyDescent="0.3">
      <c r="A23" s="18" t="s">
        <v>187</v>
      </c>
      <c r="B23" s="18"/>
      <c r="C23" s="18"/>
      <c r="D23" s="18"/>
      <c r="E23" s="18"/>
    </row>
    <row r="24" spans="1:18" x14ac:dyDescent="0.3">
      <c r="M24" s="18" t="s">
        <v>189</v>
      </c>
      <c r="N24" s="18"/>
      <c r="O24" s="18"/>
      <c r="P24" s="18"/>
      <c r="Q24" s="18"/>
      <c r="R24" s="18"/>
    </row>
  </sheetData>
  <mergeCells count="2">
    <mergeCell ref="A23:E23"/>
    <mergeCell ref="M24:R24"/>
  </mergeCell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A9D2E-00D8-45BE-AA76-5B95F265F02E}">
  <dimension ref="A1:P33"/>
  <sheetViews>
    <sheetView workbookViewId="0">
      <selection activeCell="AF9" sqref="AF9"/>
    </sheetView>
  </sheetViews>
  <sheetFormatPr defaultRowHeight="14.4" x14ac:dyDescent="0.3"/>
  <cols>
    <col min="2" max="2" width="15.21875" bestFit="1" customWidth="1"/>
    <col min="3" max="3" width="10.44140625" bestFit="1" customWidth="1"/>
    <col min="4" max="4" width="14.88671875" bestFit="1" customWidth="1"/>
    <col min="10" max="10" width="12.33203125" bestFit="1" customWidth="1"/>
    <col min="11" max="11" width="7.5546875" bestFit="1" customWidth="1"/>
    <col min="12" max="12" width="4.6640625" bestFit="1" customWidth="1"/>
    <col min="13" max="13" width="12" bestFit="1" customWidth="1"/>
    <col min="15" max="16" width="12.5546875" bestFit="1" customWidth="1"/>
    <col min="17" max="17" width="16.33203125" bestFit="1" customWidth="1"/>
    <col min="18" max="18" width="4" bestFit="1" customWidth="1"/>
    <col min="19" max="19" width="4.109375" bestFit="1" customWidth="1"/>
    <col min="20" max="20" width="10.77734375" bestFit="1" customWidth="1"/>
    <col min="21" max="21" width="4" bestFit="1" customWidth="1"/>
    <col min="22" max="22" width="12.5546875" bestFit="1" customWidth="1"/>
    <col min="23" max="23" width="16.33203125" bestFit="1" customWidth="1"/>
    <col min="24" max="41" width="4" bestFit="1" customWidth="1"/>
    <col min="42" max="42" width="16.33203125" bestFit="1" customWidth="1"/>
    <col min="43" max="43" width="15.5546875" bestFit="1" customWidth="1"/>
    <col min="44" max="44" width="6" bestFit="1" customWidth="1"/>
    <col min="45" max="45" width="6.109375" bestFit="1" customWidth="1"/>
    <col min="46" max="46" width="10.77734375" bestFit="1" customWidth="1"/>
    <col min="47" max="62" width="4" bestFit="1" customWidth="1"/>
    <col min="63" max="63" width="10.77734375" bestFit="1" customWidth="1"/>
  </cols>
  <sheetData>
    <row r="1" spans="1:15" x14ac:dyDescent="0.3">
      <c r="B1" s="6" t="s">
        <v>175</v>
      </c>
      <c r="C1" t="s">
        <v>179</v>
      </c>
      <c r="D1" t="s">
        <v>176</v>
      </c>
    </row>
    <row r="2" spans="1:15" x14ac:dyDescent="0.3">
      <c r="B2" s="7" t="s">
        <v>68</v>
      </c>
      <c r="C2" s="10">
        <v>125.21</v>
      </c>
      <c r="D2" s="8">
        <v>49.66</v>
      </c>
      <c r="I2" s="9">
        <v>4</v>
      </c>
      <c r="J2" s="6" t="s">
        <v>180</v>
      </c>
      <c r="K2" t="s">
        <v>181</v>
      </c>
      <c r="L2" t="s">
        <v>182</v>
      </c>
      <c r="M2" t="s">
        <v>183</v>
      </c>
      <c r="O2" s="15"/>
    </row>
    <row r="3" spans="1:15" x14ac:dyDescent="0.3">
      <c r="B3" s="7" t="s">
        <v>70</v>
      </c>
      <c r="C3" s="10">
        <v>135.41</v>
      </c>
      <c r="D3" s="8">
        <v>68.28</v>
      </c>
      <c r="J3" s="7" t="s">
        <v>41</v>
      </c>
      <c r="K3">
        <v>17</v>
      </c>
      <c r="L3" s="8">
        <v>6</v>
      </c>
      <c r="M3">
        <v>0</v>
      </c>
    </row>
    <row r="4" spans="1:15" x14ac:dyDescent="0.3">
      <c r="B4" s="7" t="s">
        <v>11</v>
      </c>
      <c r="C4" s="10">
        <v>136.62</v>
      </c>
      <c r="D4" s="8">
        <v>54.23</v>
      </c>
      <c r="J4" s="7" t="s">
        <v>11</v>
      </c>
      <c r="K4">
        <v>17</v>
      </c>
      <c r="L4" s="8">
        <v>6</v>
      </c>
      <c r="M4">
        <v>1</v>
      </c>
    </row>
    <row r="5" spans="1:15" x14ac:dyDescent="0.3">
      <c r="B5" s="7" t="s">
        <v>85</v>
      </c>
      <c r="C5" s="10">
        <v>160</v>
      </c>
      <c r="D5" s="8">
        <v>53.33</v>
      </c>
      <c r="J5" s="7" t="s">
        <v>43</v>
      </c>
      <c r="K5">
        <v>16</v>
      </c>
      <c r="L5" s="8">
        <v>5</v>
      </c>
      <c r="M5">
        <v>0</v>
      </c>
    </row>
    <row r="6" spans="1:15" x14ac:dyDescent="0.3">
      <c r="B6" s="7" t="s">
        <v>17</v>
      </c>
      <c r="C6" s="10">
        <v>171.21</v>
      </c>
      <c r="D6" s="8">
        <v>50.14</v>
      </c>
      <c r="J6" s="7" t="s">
        <v>74</v>
      </c>
      <c r="K6">
        <v>15</v>
      </c>
      <c r="L6" s="8">
        <v>4</v>
      </c>
      <c r="M6">
        <v>0</v>
      </c>
    </row>
    <row r="7" spans="1:15" x14ac:dyDescent="0.3">
      <c r="B7" s="7" t="s">
        <v>174</v>
      </c>
      <c r="C7" s="10">
        <v>728.45</v>
      </c>
      <c r="D7" s="8">
        <v>55.128</v>
      </c>
      <c r="J7" s="7" t="s">
        <v>64</v>
      </c>
      <c r="K7">
        <v>14</v>
      </c>
      <c r="L7" s="8">
        <v>4</v>
      </c>
      <c r="M7">
        <v>0</v>
      </c>
    </row>
    <row r="8" spans="1:15" x14ac:dyDescent="0.3">
      <c r="J8" s="7" t="s">
        <v>58</v>
      </c>
      <c r="K8">
        <v>14</v>
      </c>
      <c r="L8" s="8">
        <v>4</v>
      </c>
      <c r="M8">
        <v>0</v>
      </c>
    </row>
    <row r="9" spans="1:15" x14ac:dyDescent="0.3">
      <c r="J9" s="7" t="s">
        <v>70</v>
      </c>
      <c r="K9">
        <v>14</v>
      </c>
      <c r="L9" s="8">
        <v>4</v>
      </c>
      <c r="M9">
        <v>0</v>
      </c>
    </row>
    <row r="10" spans="1:15" x14ac:dyDescent="0.3">
      <c r="J10" s="7" t="s">
        <v>174</v>
      </c>
      <c r="K10">
        <v>107</v>
      </c>
      <c r="L10" s="8">
        <v>4.7142857142857144</v>
      </c>
      <c r="M10">
        <v>0.14285714285714285</v>
      </c>
    </row>
    <row r="11" spans="1:15" x14ac:dyDescent="0.3">
      <c r="A11" s="9">
        <v>3</v>
      </c>
    </row>
    <row r="27" spans="1:13" x14ac:dyDescent="0.3">
      <c r="A27" s="18" t="s">
        <v>190</v>
      </c>
      <c r="B27" s="18"/>
      <c r="C27" s="18"/>
      <c r="D27" s="18"/>
      <c r="E27" s="18"/>
      <c r="F27" s="18"/>
    </row>
    <row r="30" spans="1:13" x14ac:dyDescent="0.3">
      <c r="H30" s="12"/>
    </row>
    <row r="31" spans="1:13" x14ac:dyDescent="0.3">
      <c r="H31" s="18" t="s">
        <v>189</v>
      </c>
      <c r="I31" s="18"/>
      <c r="J31" s="18"/>
      <c r="K31" s="18"/>
      <c r="L31" s="18"/>
      <c r="M31" s="18"/>
    </row>
    <row r="33" spans="16:16" x14ac:dyDescent="0.3">
      <c r="P33" s="15"/>
    </row>
  </sheetData>
  <mergeCells count="2">
    <mergeCell ref="A27:F27"/>
    <mergeCell ref="H31:M31"/>
  </mergeCells>
  <pageMargins left="0.7" right="0.7" top="0.75" bottom="0.75" header="0.3" footer="0.3"/>
  <pageSetup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B6F64-2F16-4B66-B0F5-50B6B4904C3C}">
  <dimension ref="B2:O28"/>
  <sheetViews>
    <sheetView workbookViewId="0">
      <selection activeCell="K28" sqref="K28"/>
    </sheetView>
  </sheetViews>
  <sheetFormatPr defaultRowHeight="14.4" x14ac:dyDescent="0.3"/>
  <cols>
    <col min="9" max="9" width="18.5546875" bestFit="1" customWidth="1"/>
    <col min="10" max="10" width="10.21875" bestFit="1" customWidth="1"/>
    <col min="11" max="11" width="8.88671875" customWidth="1"/>
    <col min="13" max="13" width="10.77734375" bestFit="1" customWidth="1"/>
    <col min="14" max="14" width="10.44140625" bestFit="1" customWidth="1"/>
  </cols>
  <sheetData>
    <row r="2" spans="8:14" x14ac:dyDescent="0.3">
      <c r="H2" s="9">
        <v>6</v>
      </c>
      <c r="I2" s="6" t="s">
        <v>184</v>
      </c>
      <c r="J2" t="s">
        <v>177</v>
      </c>
      <c r="L2" s="9">
        <v>7</v>
      </c>
      <c r="M2" s="6" t="s">
        <v>186</v>
      </c>
      <c r="N2" t="s">
        <v>179</v>
      </c>
    </row>
    <row r="3" spans="8:14" x14ac:dyDescent="0.3">
      <c r="I3" s="7" t="s">
        <v>33</v>
      </c>
      <c r="J3">
        <v>782</v>
      </c>
      <c r="M3" s="7" t="s">
        <v>19</v>
      </c>
      <c r="N3" s="8">
        <v>135.81571428571431</v>
      </c>
    </row>
    <row r="4" spans="8:14" x14ac:dyDescent="0.3">
      <c r="I4" s="11" t="s">
        <v>25</v>
      </c>
      <c r="J4">
        <v>357</v>
      </c>
      <c r="M4" s="7" t="s">
        <v>33</v>
      </c>
      <c r="N4" s="8">
        <v>136.85600000000002</v>
      </c>
    </row>
    <row r="5" spans="8:14" x14ac:dyDescent="0.3">
      <c r="H5" t="s">
        <v>185</v>
      </c>
      <c r="I5" s="11" t="s">
        <v>58</v>
      </c>
      <c r="J5">
        <v>425</v>
      </c>
      <c r="M5" s="7" t="s">
        <v>13</v>
      </c>
      <c r="N5" s="8">
        <v>141.03500000000003</v>
      </c>
    </row>
    <row r="6" spans="8:14" x14ac:dyDescent="0.3">
      <c r="I6" s="7" t="s">
        <v>23</v>
      </c>
      <c r="J6">
        <v>784</v>
      </c>
      <c r="M6" s="7" t="s">
        <v>23</v>
      </c>
      <c r="N6" s="8">
        <v>142.04</v>
      </c>
    </row>
    <row r="7" spans="8:14" x14ac:dyDescent="0.3">
      <c r="I7" s="11" t="s">
        <v>50</v>
      </c>
      <c r="J7">
        <v>297</v>
      </c>
      <c r="M7" s="7" t="s">
        <v>54</v>
      </c>
      <c r="N7" s="8">
        <v>145.59200000000001</v>
      </c>
    </row>
    <row r="8" spans="8:14" x14ac:dyDescent="0.3">
      <c r="I8" s="11" t="s">
        <v>43</v>
      </c>
      <c r="J8">
        <v>487</v>
      </c>
      <c r="M8" s="7" t="s">
        <v>174</v>
      </c>
      <c r="N8" s="8">
        <v>140.16787878787881</v>
      </c>
    </row>
    <row r="9" spans="8:14" x14ac:dyDescent="0.3">
      <c r="I9" s="7" t="s">
        <v>30</v>
      </c>
      <c r="J9">
        <v>856</v>
      </c>
    </row>
    <row r="10" spans="8:14" x14ac:dyDescent="0.3">
      <c r="I10" s="11" t="s">
        <v>53</v>
      </c>
      <c r="J10">
        <v>407</v>
      </c>
    </row>
    <row r="11" spans="8:14" x14ac:dyDescent="0.3">
      <c r="I11" s="11" t="s">
        <v>84</v>
      </c>
      <c r="J11">
        <v>449</v>
      </c>
    </row>
    <row r="12" spans="8:14" x14ac:dyDescent="0.3">
      <c r="I12" s="7" t="s">
        <v>19</v>
      </c>
      <c r="J12">
        <v>1054</v>
      </c>
    </row>
    <row r="13" spans="8:14" x14ac:dyDescent="0.3">
      <c r="I13" s="11" t="s">
        <v>70</v>
      </c>
      <c r="J13">
        <v>478</v>
      </c>
    </row>
    <row r="14" spans="8:14" x14ac:dyDescent="0.3">
      <c r="I14" s="11" t="s">
        <v>41</v>
      </c>
      <c r="J14">
        <v>576</v>
      </c>
    </row>
    <row r="15" spans="8:14" x14ac:dyDescent="0.3">
      <c r="I15" s="7" t="s">
        <v>13</v>
      </c>
      <c r="J15">
        <v>1096</v>
      </c>
    </row>
    <row r="16" spans="8:14" x14ac:dyDescent="0.3">
      <c r="I16" s="11" t="s">
        <v>88</v>
      </c>
      <c r="J16">
        <v>391</v>
      </c>
    </row>
    <row r="17" spans="2:15" x14ac:dyDescent="0.3">
      <c r="I17" s="11" t="s">
        <v>11</v>
      </c>
      <c r="J17">
        <v>705</v>
      </c>
    </row>
    <row r="18" spans="2:15" x14ac:dyDescent="0.3">
      <c r="I18" s="7" t="s">
        <v>174</v>
      </c>
      <c r="J18">
        <v>4572</v>
      </c>
    </row>
    <row r="21" spans="2:15" x14ac:dyDescent="0.3">
      <c r="I21" s="14"/>
    </row>
    <row r="26" spans="2:15" x14ac:dyDescent="0.3">
      <c r="L26" s="13"/>
      <c r="M26" s="13"/>
      <c r="N26" s="13"/>
    </row>
    <row r="27" spans="2:15" x14ac:dyDescent="0.3">
      <c r="L27" s="19"/>
      <c r="M27" s="19"/>
      <c r="N27" s="19"/>
    </row>
    <row r="28" spans="2:15" x14ac:dyDescent="0.3">
      <c r="B28" s="19" t="s">
        <v>189</v>
      </c>
      <c r="C28" s="19"/>
      <c r="D28" s="19"/>
      <c r="E28" s="19"/>
      <c r="F28" s="19"/>
      <c r="L28" s="18"/>
      <c r="M28" s="18"/>
      <c r="N28" s="18"/>
      <c r="O28" s="18"/>
    </row>
  </sheetData>
  <mergeCells count="3">
    <mergeCell ref="B28:F28"/>
    <mergeCell ref="L27:N27"/>
    <mergeCell ref="L28:O28"/>
  </mergeCell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7812B-8B5E-41B7-91F1-167CD6F570E7}">
  <dimension ref="E2:AD44"/>
  <sheetViews>
    <sheetView workbookViewId="0">
      <selection activeCell="N25" sqref="N25"/>
    </sheetView>
  </sheetViews>
  <sheetFormatPr defaultRowHeight="14.4" x14ac:dyDescent="0.3"/>
  <cols>
    <col min="10" max="10" width="10.77734375" bestFit="1" customWidth="1"/>
    <col min="11" max="11" width="4.6640625" bestFit="1" customWidth="1"/>
    <col min="14" max="14" width="19.21875" bestFit="1" customWidth="1"/>
    <col min="15" max="15" width="14.88671875" bestFit="1" customWidth="1"/>
    <col min="20" max="20" width="18.5546875" bestFit="1" customWidth="1"/>
    <col min="21" max="22" width="4" bestFit="1" customWidth="1"/>
  </cols>
  <sheetData>
    <row r="2" spans="9:19" x14ac:dyDescent="0.3">
      <c r="I2" s="9">
        <v>8</v>
      </c>
      <c r="J2" s="6" t="s">
        <v>6</v>
      </c>
      <c r="K2" t="s">
        <v>182</v>
      </c>
      <c r="M2" s="15"/>
      <c r="S2" s="15"/>
    </row>
    <row r="3" spans="9:19" x14ac:dyDescent="0.3">
      <c r="J3" s="7" t="s">
        <v>13</v>
      </c>
      <c r="K3">
        <v>24</v>
      </c>
    </row>
    <row r="4" spans="9:19" x14ac:dyDescent="0.3">
      <c r="J4" s="7" t="s">
        <v>19</v>
      </c>
      <c r="K4">
        <v>16</v>
      </c>
    </row>
    <row r="5" spans="9:19" x14ac:dyDescent="0.3">
      <c r="J5" s="7" t="s">
        <v>33</v>
      </c>
      <c r="K5">
        <v>14</v>
      </c>
    </row>
    <row r="6" spans="9:19" x14ac:dyDescent="0.3">
      <c r="J6" s="7" t="s">
        <v>23</v>
      </c>
      <c r="K6">
        <v>9</v>
      </c>
    </row>
    <row r="7" spans="9:19" x14ac:dyDescent="0.3">
      <c r="J7" s="7" t="s">
        <v>42</v>
      </c>
      <c r="K7">
        <v>8</v>
      </c>
    </row>
    <row r="8" spans="9:19" x14ac:dyDescent="0.3">
      <c r="J8" s="7" t="s">
        <v>54</v>
      </c>
      <c r="K8">
        <v>8</v>
      </c>
    </row>
    <row r="9" spans="9:19" x14ac:dyDescent="0.3">
      <c r="J9" s="7" t="s">
        <v>174</v>
      </c>
      <c r="K9">
        <v>79</v>
      </c>
    </row>
    <row r="21" spans="5:30" x14ac:dyDescent="0.3">
      <c r="X21" s="21"/>
      <c r="Y21" s="21"/>
      <c r="Z21" s="21"/>
      <c r="AA21" s="21"/>
      <c r="AB21" s="21"/>
      <c r="AC21" s="21"/>
      <c r="AD21" s="21"/>
    </row>
    <row r="26" spans="5:30" x14ac:dyDescent="0.3">
      <c r="E26" s="20"/>
      <c r="F26" s="20"/>
      <c r="G26" s="20"/>
      <c r="H26" s="20"/>
      <c r="I26" s="20"/>
    </row>
    <row r="27" spans="5:30" x14ac:dyDescent="0.3">
      <c r="E27" s="19" t="s">
        <v>189</v>
      </c>
      <c r="F27" s="19"/>
      <c r="G27" s="19"/>
      <c r="H27" s="19"/>
      <c r="I27" s="19"/>
    </row>
    <row r="35" spans="13:16" x14ac:dyDescent="0.3">
      <c r="N35" s="22"/>
      <c r="O35" s="23"/>
    </row>
    <row r="44" spans="13:16" x14ac:dyDescent="0.3">
      <c r="M44" s="21"/>
      <c r="N44" s="21"/>
      <c r="O44" s="21"/>
      <c r="P44" s="21"/>
    </row>
  </sheetData>
  <mergeCells count="5">
    <mergeCell ref="E26:I26"/>
    <mergeCell ref="X21:AD21"/>
    <mergeCell ref="M44:P44"/>
    <mergeCell ref="E27:I27"/>
    <mergeCell ref="N35:O35"/>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563E-6842-43C2-9DCD-F4FFA6330A29}">
  <dimension ref="C1:K8"/>
  <sheetViews>
    <sheetView workbookViewId="0">
      <selection activeCell="F11" sqref="F11"/>
    </sheetView>
  </sheetViews>
  <sheetFormatPr defaultRowHeight="14.4" x14ac:dyDescent="0.3"/>
  <cols>
    <col min="1" max="1" width="10.77734375" bestFit="1" customWidth="1"/>
    <col min="2" max="2" width="15.33203125" bestFit="1" customWidth="1"/>
    <col min="3" max="3" width="11.33203125" bestFit="1" customWidth="1"/>
    <col min="4" max="4" width="11" bestFit="1" customWidth="1"/>
    <col min="5" max="5" width="18.88671875" bestFit="1" customWidth="1"/>
    <col min="6" max="6" width="18.21875" bestFit="1" customWidth="1"/>
    <col min="7" max="7" width="10.77734375" bestFit="1" customWidth="1"/>
    <col min="8" max="8" width="15.33203125" bestFit="1" customWidth="1"/>
    <col min="9" max="9" width="9.5546875" bestFit="1" customWidth="1"/>
    <col min="10" max="10" width="10.77734375" bestFit="1" customWidth="1"/>
    <col min="11" max="11" width="21" customWidth="1"/>
    <col min="12" max="29" width="10.33203125" bestFit="1" customWidth="1"/>
    <col min="30" max="30" width="10.77734375" bestFit="1" customWidth="1"/>
    <col min="31" max="31" width="25.109375" bestFit="1" customWidth="1"/>
    <col min="32" max="32" width="16.33203125" bestFit="1" customWidth="1"/>
    <col min="33" max="33" width="25.109375" bestFit="1" customWidth="1"/>
    <col min="34" max="34" width="16.33203125" bestFit="1" customWidth="1"/>
    <col min="35" max="35" width="25.109375" bestFit="1" customWidth="1"/>
    <col min="36" max="36" width="16.33203125" bestFit="1" customWidth="1"/>
    <col min="37" max="37" width="25.109375" bestFit="1" customWidth="1"/>
    <col min="38" max="38" width="16.33203125" bestFit="1" customWidth="1"/>
    <col min="39" max="39" width="25.109375" bestFit="1" customWidth="1"/>
    <col min="40" max="40" width="16.33203125" bestFit="1" customWidth="1"/>
    <col min="41" max="41" width="25.109375" bestFit="1" customWidth="1"/>
    <col min="42" max="42" width="16.33203125" bestFit="1" customWidth="1"/>
    <col min="43" max="43" width="25.109375" bestFit="1" customWidth="1"/>
    <col min="44" max="44" width="16.33203125" bestFit="1" customWidth="1"/>
    <col min="45" max="45" width="25.109375" bestFit="1" customWidth="1"/>
    <col min="46" max="46" width="16.33203125" bestFit="1" customWidth="1"/>
    <col min="47" max="47" width="25.109375" bestFit="1" customWidth="1"/>
    <col min="48" max="48" width="16.33203125" bestFit="1" customWidth="1"/>
    <col min="49" max="49" width="25.109375" bestFit="1" customWidth="1"/>
    <col min="50" max="50" width="16.33203125" bestFit="1" customWidth="1"/>
    <col min="51" max="51" width="25.109375" bestFit="1" customWidth="1"/>
    <col min="52" max="52" width="16.33203125" bestFit="1" customWidth="1"/>
    <col min="53" max="53" width="25.109375" bestFit="1" customWidth="1"/>
    <col min="54" max="54" width="16.33203125" bestFit="1" customWidth="1"/>
    <col min="55" max="55" width="25.109375" bestFit="1" customWidth="1"/>
    <col min="56" max="56" width="16.33203125" bestFit="1" customWidth="1"/>
    <col min="57" max="57" width="25.109375" bestFit="1" customWidth="1"/>
    <col min="58" max="58" width="21.109375" bestFit="1" customWidth="1"/>
    <col min="59" max="59" width="30" bestFit="1" customWidth="1"/>
  </cols>
  <sheetData>
    <row r="1" spans="3:11" x14ac:dyDescent="0.3">
      <c r="C1" s="16"/>
      <c r="D1" s="16">
        <v>8</v>
      </c>
      <c r="E1" s="6" t="s">
        <v>175</v>
      </c>
      <c r="F1" t="s">
        <v>192</v>
      </c>
      <c r="I1" s="16">
        <v>9</v>
      </c>
      <c r="J1" s="6" t="s">
        <v>193</v>
      </c>
      <c r="K1" s="7">
        <v>1</v>
      </c>
    </row>
    <row r="2" spans="3:11" x14ac:dyDescent="0.3">
      <c r="E2" s="7" t="s">
        <v>14</v>
      </c>
      <c r="F2">
        <v>147</v>
      </c>
    </row>
    <row r="3" spans="3:11" x14ac:dyDescent="0.3">
      <c r="E3" s="7" t="s">
        <v>51</v>
      </c>
      <c r="F3">
        <v>130</v>
      </c>
      <c r="J3" s="6" t="s">
        <v>175</v>
      </c>
      <c r="K3" t="s">
        <v>194</v>
      </c>
    </row>
    <row r="4" spans="3:11" x14ac:dyDescent="0.3">
      <c r="E4" s="7" t="s">
        <v>39</v>
      </c>
      <c r="F4">
        <v>109</v>
      </c>
      <c r="J4" s="7" t="s">
        <v>17</v>
      </c>
      <c r="K4">
        <v>1</v>
      </c>
    </row>
    <row r="5" spans="3:11" x14ac:dyDescent="0.3">
      <c r="E5" s="7" t="s">
        <v>20</v>
      </c>
      <c r="F5">
        <v>103</v>
      </c>
      <c r="J5" s="7" t="s">
        <v>11</v>
      </c>
      <c r="K5">
        <v>1</v>
      </c>
    </row>
    <row r="6" spans="3:11" x14ac:dyDescent="0.3">
      <c r="E6" s="7" t="s">
        <v>34</v>
      </c>
      <c r="F6">
        <v>94</v>
      </c>
      <c r="J6" s="7" t="s">
        <v>22</v>
      </c>
      <c r="K6">
        <v>1</v>
      </c>
    </row>
    <row r="7" spans="3:11" x14ac:dyDescent="0.3">
      <c r="E7" s="7" t="s">
        <v>174</v>
      </c>
      <c r="F7">
        <v>147</v>
      </c>
      <c r="J7" s="7" t="s">
        <v>25</v>
      </c>
      <c r="K7">
        <v>1</v>
      </c>
    </row>
    <row r="8" spans="3:11" x14ac:dyDescent="0.3">
      <c r="J8" s="7" t="s">
        <v>174</v>
      </c>
      <c r="K8">
        <v>4</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17CCC-A8C4-4F85-BFE9-3328C16EC91B}">
  <dimension ref="A1:L14"/>
  <sheetViews>
    <sheetView topLeftCell="C1" workbookViewId="0">
      <selection activeCell="O22" sqref="O22"/>
    </sheetView>
  </sheetViews>
  <sheetFormatPr defaultRowHeight="14.4" x14ac:dyDescent="0.3"/>
  <cols>
    <col min="1" max="1" width="24.5546875" bestFit="1" customWidth="1"/>
    <col min="2" max="2" width="14.109375" bestFit="1" customWidth="1"/>
    <col min="3" max="3" width="10" bestFit="1" customWidth="1"/>
    <col min="4" max="4" width="10.21875" bestFit="1" customWidth="1"/>
    <col min="5" max="5" width="9.109375" bestFit="1" customWidth="1"/>
    <col min="6" max="6" width="10.77734375" bestFit="1" customWidth="1"/>
    <col min="7" max="7" width="16.33203125" bestFit="1" customWidth="1"/>
    <col min="8" max="8" width="20.6640625" bestFit="1" customWidth="1"/>
    <col min="9" max="9" width="17.77734375" customWidth="1"/>
    <col min="10" max="10" width="9.5546875" customWidth="1"/>
    <col min="11" max="11" width="23.77734375" bestFit="1" customWidth="1"/>
    <col min="12" max="12" width="21.88671875" bestFit="1" customWidth="1"/>
    <col min="13" max="13" width="11.6640625" bestFit="1" customWidth="1"/>
    <col min="14" max="14" width="10.5546875" bestFit="1" customWidth="1"/>
    <col min="15" max="15" width="7.44140625" bestFit="1" customWidth="1"/>
    <col min="16" max="16" width="6.6640625" bestFit="1" customWidth="1"/>
    <col min="18" max="18" width="9.5546875" bestFit="1" customWidth="1"/>
    <col min="19" max="19" width="7" bestFit="1" customWidth="1"/>
    <col min="20" max="20" width="26.77734375" bestFit="1" customWidth="1"/>
    <col min="21" max="21" width="22.109375" bestFit="1" customWidth="1"/>
  </cols>
  <sheetData>
    <row r="1" spans="1:12" x14ac:dyDescent="0.3">
      <c r="E1" s="16">
        <v>10</v>
      </c>
      <c r="F1" s="6" t="s">
        <v>175</v>
      </c>
      <c r="G1" s="6" t="s">
        <v>188</v>
      </c>
      <c r="H1" t="s">
        <v>195</v>
      </c>
      <c r="J1" s="16">
        <v>11</v>
      </c>
      <c r="K1" s="6" t="s">
        <v>172</v>
      </c>
      <c r="L1" t="s">
        <v>126</v>
      </c>
    </row>
    <row r="2" spans="1:12" x14ac:dyDescent="0.3">
      <c r="F2" s="7" t="s">
        <v>82</v>
      </c>
      <c r="G2">
        <v>223</v>
      </c>
      <c r="H2">
        <v>75.33</v>
      </c>
    </row>
    <row r="3" spans="1:12" x14ac:dyDescent="0.3">
      <c r="F3" s="7" t="s">
        <v>80</v>
      </c>
      <c r="G3">
        <v>145</v>
      </c>
      <c r="H3">
        <v>73.099999999999994</v>
      </c>
      <c r="K3" s="6" t="s">
        <v>175</v>
      </c>
      <c r="L3" t="s">
        <v>196</v>
      </c>
    </row>
    <row r="4" spans="1:12" x14ac:dyDescent="0.3">
      <c r="F4" s="7" t="s">
        <v>29</v>
      </c>
      <c r="G4">
        <v>387</v>
      </c>
      <c r="H4">
        <v>72.86</v>
      </c>
      <c r="K4" s="7" t="s">
        <v>125</v>
      </c>
      <c r="L4">
        <v>207</v>
      </c>
    </row>
    <row r="5" spans="1:12" x14ac:dyDescent="0.3">
      <c r="A5" s="7"/>
      <c r="F5" s="7" t="s">
        <v>102</v>
      </c>
      <c r="G5">
        <v>124</v>
      </c>
      <c r="H5">
        <v>70.959999999999994</v>
      </c>
      <c r="K5" s="7" t="s">
        <v>127</v>
      </c>
      <c r="L5">
        <v>203</v>
      </c>
    </row>
    <row r="6" spans="1:12" x14ac:dyDescent="0.3">
      <c r="A6" s="7"/>
      <c r="F6" s="7" t="s">
        <v>74</v>
      </c>
      <c r="G6">
        <v>361</v>
      </c>
      <c r="H6">
        <v>69.8</v>
      </c>
      <c r="K6" s="7" t="s">
        <v>128</v>
      </c>
      <c r="L6">
        <v>136</v>
      </c>
    </row>
    <row r="7" spans="1:12" x14ac:dyDescent="0.3">
      <c r="A7" s="7"/>
      <c r="F7" s="7" t="s">
        <v>174</v>
      </c>
      <c r="G7">
        <v>1240</v>
      </c>
      <c r="H7">
        <v>72.41</v>
      </c>
      <c r="K7" s="7" t="s">
        <v>137</v>
      </c>
      <c r="L7">
        <v>104</v>
      </c>
    </row>
    <row r="8" spans="1:12" x14ac:dyDescent="0.3">
      <c r="A8" s="7"/>
      <c r="K8" s="7" t="s">
        <v>138</v>
      </c>
      <c r="L8">
        <v>103</v>
      </c>
    </row>
    <row r="9" spans="1:12" x14ac:dyDescent="0.3">
      <c r="A9" s="7"/>
      <c r="K9" s="7" t="s">
        <v>174</v>
      </c>
      <c r="L9">
        <v>207</v>
      </c>
    </row>
    <row r="10" spans="1:12" x14ac:dyDescent="0.3">
      <c r="A10" s="7"/>
    </row>
    <row r="11" spans="1:12" x14ac:dyDescent="0.3">
      <c r="A11" s="7"/>
    </row>
    <row r="12" spans="1:12" x14ac:dyDescent="0.3">
      <c r="A12" s="7"/>
    </row>
    <row r="13" spans="1:12" x14ac:dyDescent="0.3">
      <c r="A13" s="7"/>
    </row>
    <row r="14" spans="1:12" x14ac:dyDescent="0.3">
      <c r="A14" s="7"/>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8B2F2-DFBC-4DF7-B4CD-1D3FB06AFC6D}">
  <dimension ref="A1:I28"/>
  <sheetViews>
    <sheetView workbookViewId="0">
      <selection activeCell="D3" sqref="D3"/>
    </sheetView>
  </sheetViews>
  <sheetFormatPr defaultRowHeight="14.4" x14ac:dyDescent="0.3"/>
  <cols>
    <col min="1" max="1" width="15.21875" bestFit="1" customWidth="1"/>
    <col min="2" max="2" width="24.21875" bestFit="1" customWidth="1"/>
    <col min="3" max="3" width="15.44140625" bestFit="1" customWidth="1"/>
    <col min="4" max="4" width="23.77734375" bestFit="1" customWidth="1"/>
    <col min="5" max="5" width="21.88671875" bestFit="1" customWidth="1"/>
    <col min="6" max="6" width="9.21875" bestFit="1" customWidth="1"/>
    <col min="7" max="7" width="17.21875" bestFit="1" customWidth="1"/>
    <col min="8" max="9" width="15.44140625" bestFit="1" customWidth="1"/>
    <col min="10" max="11" width="10.77734375" bestFit="1" customWidth="1"/>
    <col min="12" max="12" width="8.5546875" bestFit="1" customWidth="1"/>
    <col min="13" max="13" width="14.6640625" bestFit="1" customWidth="1"/>
    <col min="14" max="14" width="12.109375" bestFit="1" customWidth="1"/>
    <col min="15" max="15" width="10.33203125" bestFit="1" customWidth="1"/>
    <col min="16" max="16" width="9.5546875" bestFit="1" customWidth="1"/>
    <col min="17" max="17" width="6.21875" bestFit="1" customWidth="1"/>
    <col min="18" max="18" width="5.5546875" bestFit="1" customWidth="1"/>
    <col min="19" max="19" width="14.88671875" bestFit="1" customWidth="1"/>
    <col min="20" max="20" width="11.109375" bestFit="1" customWidth="1"/>
    <col min="21" max="21" width="10.33203125" bestFit="1" customWidth="1"/>
    <col min="22" max="22" width="10.5546875" bestFit="1" customWidth="1"/>
    <col min="23" max="23" width="7.6640625" bestFit="1" customWidth="1"/>
    <col min="24" max="24" width="8.5546875" bestFit="1" customWidth="1"/>
    <col min="25" max="25" width="13.88671875" bestFit="1" customWidth="1"/>
    <col min="26" max="26" width="7.77734375" bestFit="1" customWidth="1"/>
    <col min="27" max="27" width="10.5546875" bestFit="1" customWidth="1"/>
    <col min="28" max="28" width="9.5546875" bestFit="1" customWidth="1"/>
    <col min="29" max="29" width="5.5546875" bestFit="1" customWidth="1"/>
    <col min="30" max="30" width="7.6640625" bestFit="1" customWidth="1"/>
    <col min="31" max="31" width="10.44140625" bestFit="1" customWidth="1"/>
    <col min="32" max="32" width="10.33203125" bestFit="1" customWidth="1"/>
    <col min="33" max="33" width="10.5546875" bestFit="1" customWidth="1"/>
    <col min="34" max="34" width="6.21875" bestFit="1" customWidth="1"/>
    <col min="35" max="35" width="8.5546875" bestFit="1" customWidth="1"/>
    <col min="36" max="36" width="9.77734375" bestFit="1" customWidth="1"/>
    <col min="37" max="37" width="9.21875" bestFit="1" customWidth="1"/>
    <col min="38" max="38" width="10.33203125" bestFit="1" customWidth="1"/>
    <col min="39" max="39" width="10.5546875" bestFit="1" customWidth="1"/>
    <col min="40" max="40" width="9.5546875" bestFit="1" customWidth="1"/>
    <col min="41" max="41" width="5.5546875" bestFit="1" customWidth="1"/>
    <col min="42" max="42" width="11.88671875" bestFit="1" customWidth="1"/>
    <col min="43" max="43" width="10.33203125" bestFit="1" customWidth="1"/>
    <col min="44" max="44" width="10.5546875" bestFit="1" customWidth="1"/>
    <col min="45" max="45" width="5.5546875" bestFit="1" customWidth="1"/>
    <col min="46" max="46" width="7.6640625" bestFit="1" customWidth="1"/>
    <col min="47" max="47" width="12.77734375" bestFit="1" customWidth="1"/>
    <col min="48" max="48" width="9" bestFit="1" customWidth="1"/>
    <col min="49" max="49" width="11.6640625" bestFit="1" customWidth="1"/>
    <col min="50" max="50" width="10.77734375" bestFit="1" customWidth="1"/>
  </cols>
  <sheetData>
    <row r="1" spans="1:8" x14ac:dyDescent="0.3">
      <c r="F1" s="16">
        <v>13</v>
      </c>
      <c r="G1" s="6" t="s">
        <v>197</v>
      </c>
      <c r="H1" t="s">
        <v>198</v>
      </c>
    </row>
    <row r="3" spans="1:8" x14ac:dyDescent="0.3">
      <c r="G3" s="6" t="s">
        <v>175</v>
      </c>
      <c r="H3" t="s">
        <v>199</v>
      </c>
    </row>
    <row r="4" spans="1:8" x14ac:dyDescent="0.3">
      <c r="G4" s="7" t="s">
        <v>103</v>
      </c>
      <c r="H4">
        <v>50</v>
      </c>
    </row>
    <row r="5" spans="1:8" x14ac:dyDescent="0.3">
      <c r="G5" s="7" t="s">
        <v>98</v>
      </c>
      <c r="H5">
        <v>49</v>
      </c>
    </row>
    <row r="6" spans="1:8" x14ac:dyDescent="0.3">
      <c r="G6" s="7" t="s">
        <v>101</v>
      </c>
      <c r="H6">
        <v>48</v>
      </c>
    </row>
    <row r="7" spans="1:8" x14ac:dyDescent="0.3">
      <c r="G7" s="7" t="s">
        <v>104</v>
      </c>
      <c r="H7">
        <v>47</v>
      </c>
    </row>
    <row r="8" spans="1:8" x14ac:dyDescent="0.3">
      <c r="A8" s="6" t="s">
        <v>175</v>
      </c>
      <c r="B8" t="s">
        <v>199</v>
      </c>
      <c r="G8" s="7" t="s">
        <v>99</v>
      </c>
      <c r="H8">
        <v>46</v>
      </c>
    </row>
    <row r="9" spans="1:8" x14ac:dyDescent="0.3">
      <c r="A9" s="7" t="s">
        <v>11</v>
      </c>
      <c r="B9">
        <v>1</v>
      </c>
      <c r="G9" s="7" t="s">
        <v>174</v>
      </c>
      <c r="H9">
        <v>50</v>
      </c>
    </row>
    <row r="10" spans="1:8" x14ac:dyDescent="0.3">
      <c r="A10" s="7" t="s">
        <v>41</v>
      </c>
      <c r="B10">
        <v>2</v>
      </c>
    </row>
    <row r="11" spans="1:8" x14ac:dyDescent="0.3">
      <c r="A11" s="7" t="s">
        <v>70</v>
      </c>
      <c r="B11">
        <v>3</v>
      </c>
    </row>
    <row r="12" spans="1:8" x14ac:dyDescent="0.3">
      <c r="A12" s="7" t="s">
        <v>43</v>
      </c>
      <c r="B12">
        <v>4</v>
      </c>
    </row>
    <row r="13" spans="1:8" x14ac:dyDescent="0.3">
      <c r="A13" s="7" t="s">
        <v>84</v>
      </c>
      <c r="B13">
        <v>5</v>
      </c>
    </row>
    <row r="14" spans="1:8" x14ac:dyDescent="0.3">
      <c r="A14" s="7" t="s">
        <v>174</v>
      </c>
      <c r="B14">
        <v>5</v>
      </c>
    </row>
    <row r="28" spans="9:9" x14ac:dyDescent="0.3">
      <c r="I28" t="s">
        <v>185</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15F91-15AA-4F3E-8F81-0570FFEB55FF}">
  <dimension ref="A1"/>
  <sheetViews>
    <sheetView tabSelected="1" topLeftCell="H1" zoomScale="94" workbookViewId="0">
      <selection activeCell="AB4" sqref="AB4"/>
    </sheetView>
  </sheetViews>
  <sheetFormatPr defaultRowHeight="14.4" x14ac:dyDescent="0.3"/>
  <cols>
    <col min="1" max="16384" width="8.8867187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62A1C-F7EF-4669-9A8C-BE0FF48A969A}">
  <dimension ref="A1:K51"/>
  <sheetViews>
    <sheetView workbookViewId="0">
      <selection activeCell="H1" sqref="H1"/>
    </sheetView>
  </sheetViews>
  <sheetFormatPr defaultRowHeight="14.4" x14ac:dyDescent="0.3"/>
  <cols>
    <col min="1" max="1" width="15.21875" bestFit="1" customWidth="1"/>
    <col min="2" max="2" width="6.109375" customWidth="1"/>
    <col min="3" max="3" width="6.6640625" customWidth="1"/>
    <col min="4" max="4" width="5.5546875" customWidth="1"/>
    <col min="5" max="5" width="6.33203125" customWidth="1"/>
    <col min="6" max="6" width="7" bestFit="1" customWidth="1"/>
    <col min="7" max="7" width="9.77734375" bestFit="1" customWidth="1"/>
    <col min="8" max="8" width="11.109375" bestFit="1" customWidth="1"/>
    <col min="9" max="9" width="20" bestFit="1" customWidth="1"/>
    <col min="10" max="10" width="10.5546875" bestFit="1" customWidth="1"/>
    <col min="11" max="11" width="9.1093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s="4" t="s">
        <v>12</v>
      </c>
      <c r="C2">
        <v>79</v>
      </c>
      <c r="D2">
        <v>13</v>
      </c>
      <c r="E2">
        <v>8</v>
      </c>
      <c r="F2">
        <v>186.07</v>
      </c>
      <c r="G2" t="s">
        <v>13</v>
      </c>
      <c r="H2" t="s">
        <v>14</v>
      </c>
      <c r="I2" t="s">
        <v>15</v>
      </c>
      <c r="J2" s="1">
        <v>43842</v>
      </c>
      <c r="K2" t="s">
        <v>16</v>
      </c>
    </row>
    <row r="3" spans="1:11" x14ac:dyDescent="0.3">
      <c r="A3" t="s">
        <v>17</v>
      </c>
      <c r="B3" s="4" t="s">
        <v>18</v>
      </c>
      <c r="C3">
        <v>61</v>
      </c>
      <c r="D3">
        <v>11</v>
      </c>
      <c r="E3">
        <v>7</v>
      </c>
      <c r="F3">
        <v>213.11</v>
      </c>
      <c r="G3" t="s">
        <v>19</v>
      </c>
      <c r="H3" t="s">
        <v>20</v>
      </c>
      <c r="I3" t="s">
        <v>21</v>
      </c>
      <c r="J3" s="1">
        <v>43856</v>
      </c>
      <c r="K3" t="s">
        <v>16</v>
      </c>
    </row>
    <row r="4" spans="1:11" x14ac:dyDescent="0.3">
      <c r="A4" t="s">
        <v>22</v>
      </c>
      <c r="B4" s="4">
        <v>109</v>
      </c>
      <c r="C4">
        <v>68</v>
      </c>
      <c r="D4">
        <v>6</v>
      </c>
      <c r="E4">
        <v>7</v>
      </c>
      <c r="F4">
        <v>160.29</v>
      </c>
      <c r="G4" t="s">
        <v>23</v>
      </c>
      <c r="H4" t="s">
        <v>14</v>
      </c>
      <c r="I4" t="s">
        <v>24</v>
      </c>
      <c r="J4" s="1">
        <v>43855</v>
      </c>
      <c r="K4" t="s">
        <v>16</v>
      </c>
    </row>
    <row r="5" spans="1:11" x14ac:dyDescent="0.3">
      <c r="A5" t="s">
        <v>25</v>
      </c>
      <c r="B5" s="4" t="s">
        <v>26</v>
      </c>
      <c r="C5">
        <v>70</v>
      </c>
      <c r="D5">
        <v>3</v>
      </c>
      <c r="E5">
        <v>7</v>
      </c>
      <c r="F5">
        <v>147.13999999999999</v>
      </c>
      <c r="G5" t="s">
        <v>19</v>
      </c>
      <c r="H5" t="s">
        <v>27</v>
      </c>
      <c r="I5" t="s">
        <v>28</v>
      </c>
      <c r="J5" s="1">
        <v>43835</v>
      </c>
      <c r="K5" t="s">
        <v>16</v>
      </c>
    </row>
    <row r="6" spans="1:11" x14ac:dyDescent="0.3">
      <c r="A6" t="s">
        <v>29</v>
      </c>
      <c r="B6" s="4">
        <v>94</v>
      </c>
      <c r="C6">
        <v>35</v>
      </c>
      <c r="D6">
        <v>4</v>
      </c>
      <c r="E6">
        <v>11</v>
      </c>
      <c r="F6">
        <v>268.57</v>
      </c>
      <c r="G6" t="s">
        <v>30</v>
      </c>
      <c r="H6" t="s">
        <v>14</v>
      </c>
      <c r="I6" t="s">
        <v>24</v>
      </c>
      <c r="J6" s="1">
        <v>43821</v>
      </c>
      <c r="K6" t="s">
        <v>16</v>
      </c>
    </row>
    <row r="7" spans="1:11" x14ac:dyDescent="0.3">
      <c r="A7" t="s">
        <v>31</v>
      </c>
      <c r="B7" s="4" t="s">
        <v>32</v>
      </c>
      <c r="C7">
        <v>41</v>
      </c>
      <c r="D7">
        <v>3</v>
      </c>
      <c r="E7">
        <v>8</v>
      </c>
      <c r="F7">
        <v>226.82</v>
      </c>
      <c r="G7" t="s">
        <v>33</v>
      </c>
      <c r="H7" t="s">
        <v>34</v>
      </c>
      <c r="I7" t="s">
        <v>28</v>
      </c>
      <c r="J7" s="1">
        <v>43841</v>
      </c>
      <c r="K7" t="s">
        <v>16</v>
      </c>
    </row>
    <row r="8" spans="1:11" x14ac:dyDescent="0.3">
      <c r="A8" t="s">
        <v>35</v>
      </c>
      <c r="B8" s="4" t="s">
        <v>36</v>
      </c>
      <c r="C8">
        <v>48</v>
      </c>
      <c r="D8">
        <v>8</v>
      </c>
      <c r="E8">
        <v>5</v>
      </c>
      <c r="F8">
        <v>187.5</v>
      </c>
      <c r="G8" t="s">
        <v>19</v>
      </c>
      <c r="H8" t="s">
        <v>20</v>
      </c>
      <c r="I8" t="s">
        <v>37</v>
      </c>
      <c r="J8" s="1">
        <v>43849</v>
      </c>
      <c r="K8" t="s">
        <v>16</v>
      </c>
    </row>
    <row r="9" spans="1:11" x14ac:dyDescent="0.3">
      <c r="A9" t="s">
        <v>29</v>
      </c>
      <c r="B9" s="4" t="s">
        <v>38</v>
      </c>
      <c r="C9">
        <v>55</v>
      </c>
      <c r="D9">
        <v>11</v>
      </c>
      <c r="E9">
        <v>3</v>
      </c>
      <c r="F9">
        <v>160</v>
      </c>
      <c r="G9" t="s">
        <v>30</v>
      </c>
      <c r="H9" t="s">
        <v>39</v>
      </c>
      <c r="I9" t="s">
        <v>40</v>
      </c>
      <c r="J9" s="1">
        <v>43833</v>
      </c>
      <c r="K9" t="s">
        <v>16</v>
      </c>
    </row>
    <row r="10" spans="1:11" x14ac:dyDescent="0.3">
      <c r="A10" t="s">
        <v>41</v>
      </c>
      <c r="B10" s="4">
        <v>85</v>
      </c>
      <c r="C10">
        <v>59</v>
      </c>
      <c r="D10">
        <v>10</v>
      </c>
      <c r="E10">
        <v>3</v>
      </c>
      <c r="F10">
        <v>144.06</v>
      </c>
      <c r="G10" t="s">
        <v>42</v>
      </c>
      <c r="H10" t="s">
        <v>27</v>
      </c>
      <c r="I10" t="s">
        <v>28</v>
      </c>
      <c r="J10" s="1">
        <v>43850</v>
      </c>
      <c r="K10" t="s">
        <v>16</v>
      </c>
    </row>
    <row r="11" spans="1:11" x14ac:dyDescent="0.3">
      <c r="A11" t="s">
        <v>43</v>
      </c>
      <c r="B11" s="4" t="s">
        <v>44</v>
      </c>
      <c r="C11">
        <v>52</v>
      </c>
      <c r="D11">
        <v>5</v>
      </c>
      <c r="E11">
        <v>4</v>
      </c>
      <c r="F11">
        <v>159.61000000000001</v>
      </c>
      <c r="G11" t="s">
        <v>45</v>
      </c>
      <c r="H11" t="s">
        <v>20</v>
      </c>
      <c r="I11" t="s">
        <v>46</v>
      </c>
      <c r="J11" s="1">
        <v>43835</v>
      </c>
      <c r="K11" t="s">
        <v>16</v>
      </c>
    </row>
    <row r="12" spans="1:11" x14ac:dyDescent="0.3">
      <c r="A12" t="s">
        <v>47</v>
      </c>
      <c r="B12" s="4" t="s">
        <v>44</v>
      </c>
      <c r="C12">
        <v>45</v>
      </c>
      <c r="D12">
        <v>1</v>
      </c>
      <c r="E12">
        <v>7</v>
      </c>
      <c r="F12">
        <v>184.44</v>
      </c>
      <c r="G12" t="s">
        <v>13</v>
      </c>
      <c r="H12" t="s">
        <v>48</v>
      </c>
      <c r="I12" t="s">
        <v>49</v>
      </c>
      <c r="J12" s="1">
        <v>43840</v>
      </c>
      <c r="K12" t="s">
        <v>16</v>
      </c>
    </row>
    <row r="13" spans="1:11" x14ac:dyDescent="0.3">
      <c r="A13" t="s">
        <v>50</v>
      </c>
      <c r="B13" s="4" t="s">
        <v>44</v>
      </c>
      <c r="C13">
        <v>49</v>
      </c>
      <c r="D13">
        <v>9</v>
      </c>
      <c r="E13">
        <v>3</v>
      </c>
      <c r="F13">
        <v>169.38</v>
      </c>
      <c r="G13" t="s">
        <v>13</v>
      </c>
      <c r="H13" t="s">
        <v>51</v>
      </c>
      <c r="I13" t="s">
        <v>15</v>
      </c>
      <c r="J13" s="1">
        <v>43867</v>
      </c>
      <c r="K13" t="s">
        <v>16</v>
      </c>
    </row>
    <row r="14" spans="1:11" x14ac:dyDescent="0.3">
      <c r="A14" t="s">
        <v>47</v>
      </c>
      <c r="B14" s="4">
        <v>83</v>
      </c>
      <c r="C14">
        <v>39</v>
      </c>
      <c r="D14">
        <v>7</v>
      </c>
      <c r="E14">
        <v>5</v>
      </c>
      <c r="F14">
        <v>212.82</v>
      </c>
      <c r="G14" t="s">
        <v>13</v>
      </c>
      <c r="H14" t="s">
        <v>34</v>
      </c>
      <c r="I14" t="s">
        <v>52</v>
      </c>
      <c r="J14" s="1">
        <v>43819</v>
      </c>
      <c r="K14" t="s">
        <v>16</v>
      </c>
    </row>
    <row r="15" spans="1:11" x14ac:dyDescent="0.3">
      <c r="A15" t="s">
        <v>53</v>
      </c>
      <c r="B15" s="4">
        <v>83</v>
      </c>
      <c r="C15">
        <v>47</v>
      </c>
      <c r="D15">
        <v>10</v>
      </c>
      <c r="E15">
        <v>3</v>
      </c>
      <c r="F15">
        <v>176.59</v>
      </c>
      <c r="G15" t="s">
        <v>54</v>
      </c>
      <c r="H15" t="s">
        <v>27</v>
      </c>
      <c r="I15" t="s">
        <v>21</v>
      </c>
      <c r="J15" s="1">
        <v>43822</v>
      </c>
      <c r="K15" t="s">
        <v>16</v>
      </c>
    </row>
    <row r="16" spans="1:11" x14ac:dyDescent="0.3">
      <c r="A16" t="s">
        <v>11</v>
      </c>
      <c r="B16" s="4">
        <v>83</v>
      </c>
      <c r="C16">
        <v>54</v>
      </c>
      <c r="D16">
        <v>7</v>
      </c>
      <c r="E16">
        <v>3</v>
      </c>
      <c r="F16">
        <v>153.69999999999999</v>
      </c>
      <c r="G16" t="s">
        <v>13</v>
      </c>
      <c r="H16" t="s">
        <v>51</v>
      </c>
      <c r="I16" t="s">
        <v>15</v>
      </c>
      <c r="J16" s="1">
        <v>43867</v>
      </c>
      <c r="K16" t="s">
        <v>16</v>
      </c>
    </row>
    <row r="17" spans="1:11" x14ac:dyDescent="0.3">
      <c r="A17" t="s">
        <v>43</v>
      </c>
      <c r="B17" s="4" t="s">
        <v>55</v>
      </c>
      <c r="C17">
        <v>44</v>
      </c>
      <c r="D17">
        <v>11</v>
      </c>
      <c r="E17">
        <v>3</v>
      </c>
      <c r="F17">
        <v>184.09</v>
      </c>
      <c r="G17" t="s">
        <v>45</v>
      </c>
      <c r="H17" t="s">
        <v>27</v>
      </c>
      <c r="I17" t="s">
        <v>24</v>
      </c>
      <c r="J17" s="1">
        <v>43817</v>
      </c>
      <c r="K17" t="s">
        <v>16</v>
      </c>
    </row>
    <row r="18" spans="1:11" x14ac:dyDescent="0.3">
      <c r="A18" t="s">
        <v>11</v>
      </c>
      <c r="B18" s="4" t="s">
        <v>55</v>
      </c>
      <c r="C18">
        <v>54</v>
      </c>
      <c r="D18">
        <v>7</v>
      </c>
      <c r="E18">
        <v>4</v>
      </c>
      <c r="F18">
        <v>150</v>
      </c>
      <c r="G18" t="s">
        <v>13</v>
      </c>
      <c r="H18" t="s">
        <v>39</v>
      </c>
      <c r="I18" t="s">
        <v>56</v>
      </c>
      <c r="J18" s="1">
        <v>43821</v>
      </c>
      <c r="K18" t="s">
        <v>16</v>
      </c>
    </row>
    <row r="19" spans="1:11" x14ac:dyDescent="0.3">
      <c r="A19" t="s">
        <v>57</v>
      </c>
      <c r="B19" s="4">
        <v>79</v>
      </c>
      <c r="C19">
        <v>40</v>
      </c>
      <c r="D19">
        <v>5</v>
      </c>
      <c r="E19">
        <v>6</v>
      </c>
      <c r="F19">
        <v>197.5</v>
      </c>
      <c r="G19" t="s">
        <v>54</v>
      </c>
      <c r="H19" t="s">
        <v>39</v>
      </c>
      <c r="I19" t="s">
        <v>37</v>
      </c>
      <c r="J19" s="1">
        <v>43849</v>
      </c>
      <c r="K19" t="s">
        <v>16</v>
      </c>
    </row>
    <row r="20" spans="1:11" x14ac:dyDescent="0.3">
      <c r="A20" t="s">
        <v>58</v>
      </c>
      <c r="B20" s="4">
        <v>79</v>
      </c>
      <c r="C20">
        <v>54</v>
      </c>
      <c r="D20">
        <v>1</v>
      </c>
      <c r="E20">
        <v>7</v>
      </c>
      <c r="F20">
        <v>146.29</v>
      </c>
      <c r="G20" t="s">
        <v>33</v>
      </c>
      <c r="H20" t="s">
        <v>20</v>
      </c>
      <c r="I20" t="s">
        <v>28</v>
      </c>
      <c r="J20" s="1">
        <v>43854</v>
      </c>
      <c r="K20" t="s">
        <v>16</v>
      </c>
    </row>
    <row r="21" spans="1:11" x14ac:dyDescent="0.3">
      <c r="A21" t="s">
        <v>58</v>
      </c>
      <c r="B21" s="4">
        <v>78</v>
      </c>
      <c r="C21">
        <v>49</v>
      </c>
      <c r="D21">
        <v>6</v>
      </c>
      <c r="E21">
        <v>4</v>
      </c>
      <c r="F21">
        <v>159.18</v>
      </c>
      <c r="G21" t="s">
        <v>33</v>
      </c>
      <c r="H21" t="s">
        <v>51</v>
      </c>
      <c r="I21" t="s">
        <v>28</v>
      </c>
      <c r="J21" s="1">
        <v>43850</v>
      </c>
      <c r="K21" t="s">
        <v>16</v>
      </c>
    </row>
    <row r="22" spans="1:11" x14ac:dyDescent="0.3">
      <c r="A22" t="s">
        <v>59</v>
      </c>
      <c r="B22" s="4" t="s">
        <v>60</v>
      </c>
      <c r="C22">
        <v>44</v>
      </c>
      <c r="D22">
        <v>6</v>
      </c>
      <c r="E22">
        <v>3</v>
      </c>
      <c r="F22">
        <v>165.9</v>
      </c>
      <c r="G22" t="s">
        <v>42</v>
      </c>
      <c r="H22" t="s">
        <v>34</v>
      </c>
      <c r="I22" t="s">
        <v>61</v>
      </c>
      <c r="J22" s="1">
        <v>43816</v>
      </c>
      <c r="K22" t="s">
        <v>16</v>
      </c>
    </row>
    <row r="23" spans="1:11" x14ac:dyDescent="0.3">
      <c r="A23" t="s">
        <v>59</v>
      </c>
      <c r="B23" s="4">
        <v>73</v>
      </c>
      <c r="C23">
        <v>46</v>
      </c>
      <c r="D23">
        <v>7</v>
      </c>
      <c r="E23">
        <v>2</v>
      </c>
      <c r="F23">
        <v>158.69</v>
      </c>
      <c r="G23" t="s">
        <v>42</v>
      </c>
      <c r="H23" t="s">
        <v>20</v>
      </c>
      <c r="I23" t="s">
        <v>21</v>
      </c>
      <c r="J23" s="1">
        <v>43830</v>
      </c>
      <c r="K23" t="s">
        <v>16</v>
      </c>
    </row>
    <row r="24" spans="1:11" x14ac:dyDescent="0.3">
      <c r="A24" t="s">
        <v>62</v>
      </c>
      <c r="B24" s="4">
        <v>73</v>
      </c>
      <c r="C24">
        <v>46</v>
      </c>
      <c r="D24">
        <v>7</v>
      </c>
      <c r="E24">
        <v>3</v>
      </c>
      <c r="F24">
        <v>158.69</v>
      </c>
      <c r="G24" t="s">
        <v>23</v>
      </c>
      <c r="H24" t="s">
        <v>27</v>
      </c>
      <c r="I24" t="s">
        <v>63</v>
      </c>
      <c r="J24" s="1">
        <v>43837</v>
      </c>
      <c r="K24" t="s">
        <v>16</v>
      </c>
    </row>
    <row r="25" spans="1:11" x14ac:dyDescent="0.3">
      <c r="A25" t="s">
        <v>64</v>
      </c>
      <c r="B25" s="4">
        <v>73</v>
      </c>
      <c r="C25">
        <v>46</v>
      </c>
      <c r="D25">
        <v>4</v>
      </c>
      <c r="E25">
        <v>4</v>
      </c>
      <c r="F25">
        <v>158.69</v>
      </c>
      <c r="G25" t="s">
        <v>33</v>
      </c>
      <c r="H25" t="s">
        <v>39</v>
      </c>
      <c r="I25" t="s">
        <v>40</v>
      </c>
      <c r="J25" s="1">
        <v>43843</v>
      </c>
      <c r="K25" t="s">
        <v>16</v>
      </c>
    </row>
    <row r="26" spans="1:11" x14ac:dyDescent="0.3">
      <c r="A26" t="s">
        <v>65</v>
      </c>
      <c r="B26" s="4">
        <v>72</v>
      </c>
      <c r="C26">
        <v>31</v>
      </c>
      <c r="D26">
        <v>2</v>
      </c>
      <c r="E26">
        <v>8</v>
      </c>
      <c r="F26">
        <v>232.25</v>
      </c>
      <c r="G26" t="s">
        <v>45</v>
      </c>
      <c r="H26" t="s">
        <v>66</v>
      </c>
      <c r="I26" t="s">
        <v>24</v>
      </c>
      <c r="J26" s="1">
        <v>43850</v>
      </c>
      <c r="K26" t="s">
        <v>16</v>
      </c>
    </row>
    <row r="27" spans="1:11" x14ac:dyDescent="0.3">
      <c r="A27" t="s">
        <v>25</v>
      </c>
      <c r="B27" s="4">
        <v>72</v>
      </c>
      <c r="C27">
        <v>55</v>
      </c>
      <c r="D27">
        <v>4</v>
      </c>
      <c r="E27">
        <v>4</v>
      </c>
      <c r="F27">
        <v>130.9</v>
      </c>
      <c r="G27" t="s">
        <v>19</v>
      </c>
      <c r="H27" t="s">
        <v>20</v>
      </c>
      <c r="I27" t="s">
        <v>21</v>
      </c>
      <c r="J27" s="1">
        <v>43856</v>
      </c>
      <c r="K27" t="s">
        <v>16</v>
      </c>
    </row>
    <row r="28" spans="1:11" x14ac:dyDescent="0.3">
      <c r="A28" t="s">
        <v>67</v>
      </c>
      <c r="B28" s="4">
        <v>71</v>
      </c>
      <c r="C28">
        <v>37</v>
      </c>
      <c r="D28">
        <v>2</v>
      </c>
      <c r="E28">
        <v>6</v>
      </c>
      <c r="F28">
        <v>191.89</v>
      </c>
      <c r="G28" t="s">
        <v>30</v>
      </c>
      <c r="H28" t="s">
        <v>66</v>
      </c>
      <c r="I28" t="s">
        <v>15</v>
      </c>
      <c r="J28" s="1">
        <v>43855</v>
      </c>
      <c r="K28" t="s">
        <v>16</v>
      </c>
    </row>
    <row r="29" spans="1:11" x14ac:dyDescent="0.3">
      <c r="A29" t="s">
        <v>68</v>
      </c>
      <c r="B29" s="4" t="s">
        <v>69</v>
      </c>
      <c r="C29">
        <v>50</v>
      </c>
      <c r="D29">
        <v>6</v>
      </c>
      <c r="E29">
        <v>2</v>
      </c>
      <c r="F29">
        <v>140</v>
      </c>
      <c r="G29" t="s">
        <v>19</v>
      </c>
      <c r="H29" t="s">
        <v>48</v>
      </c>
      <c r="I29" t="s">
        <v>49</v>
      </c>
      <c r="J29" s="1">
        <v>43851</v>
      </c>
      <c r="K29" t="s">
        <v>16</v>
      </c>
    </row>
    <row r="30" spans="1:11" x14ac:dyDescent="0.3">
      <c r="A30" t="s">
        <v>58</v>
      </c>
      <c r="B30" s="4">
        <v>69</v>
      </c>
      <c r="C30">
        <v>26</v>
      </c>
      <c r="D30">
        <v>5</v>
      </c>
      <c r="E30">
        <v>7</v>
      </c>
      <c r="F30">
        <v>265.38</v>
      </c>
      <c r="G30" t="s">
        <v>33</v>
      </c>
      <c r="H30" t="s">
        <v>20</v>
      </c>
      <c r="I30" t="s">
        <v>21</v>
      </c>
      <c r="J30" s="1">
        <v>43822</v>
      </c>
      <c r="K30" t="s">
        <v>16</v>
      </c>
    </row>
    <row r="31" spans="1:11" x14ac:dyDescent="0.3">
      <c r="A31" t="s">
        <v>70</v>
      </c>
      <c r="B31" s="4" t="s">
        <v>71</v>
      </c>
      <c r="C31">
        <v>46</v>
      </c>
      <c r="D31">
        <v>6</v>
      </c>
      <c r="E31">
        <v>0</v>
      </c>
      <c r="F31">
        <v>147.82</v>
      </c>
      <c r="G31" t="s">
        <v>54</v>
      </c>
      <c r="H31" t="s">
        <v>66</v>
      </c>
      <c r="I31" t="s">
        <v>52</v>
      </c>
      <c r="J31" s="1">
        <v>43826</v>
      </c>
      <c r="K31" t="s">
        <v>16</v>
      </c>
    </row>
    <row r="32" spans="1:11" x14ac:dyDescent="0.3">
      <c r="A32" t="s">
        <v>11</v>
      </c>
      <c r="B32" s="4" t="s">
        <v>71</v>
      </c>
      <c r="C32">
        <v>55</v>
      </c>
      <c r="D32">
        <v>7</v>
      </c>
      <c r="E32">
        <v>1</v>
      </c>
      <c r="F32">
        <v>123.63</v>
      </c>
      <c r="G32" t="s">
        <v>13</v>
      </c>
      <c r="H32" t="s">
        <v>48</v>
      </c>
      <c r="I32" t="s">
        <v>15</v>
      </c>
      <c r="J32" s="1">
        <v>43834</v>
      </c>
      <c r="K32" t="s">
        <v>16</v>
      </c>
    </row>
    <row r="33" spans="1:11" x14ac:dyDescent="0.3">
      <c r="A33" t="s">
        <v>41</v>
      </c>
      <c r="B33" s="4">
        <v>68</v>
      </c>
      <c r="C33">
        <v>38</v>
      </c>
      <c r="D33">
        <v>8</v>
      </c>
      <c r="E33">
        <v>2</v>
      </c>
      <c r="F33">
        <v>178.94</v>
      </c>
      <c r="G33" t="s">
        <v>42</v>
      </c>
      <c r="H33" t="s">
        <v>48</v>
      </c>
      <c r="I33" t="s">
        <v>63</v>
      </c>
      <c r="J33" s="1">
        <v>43818</v>
      </c>
      <c r="K33" t="s">
        <v>16</v>
      </c>
    </row>
    <row r="34" spans="1:11" x14ac:dyDescent="0.3">
      <c r="A34" t="s">
        <v>72</v>
      </c>
      <c r="B34" s="4" t="s">
        <v>73</v>
      </c>
      <c r="C34">
        <v>37</v>
      </c>
      <c r="D34">
        <v>4</v>
      </c>
      <c r="E34">
        <v>3</v>
      </c>
      <c r="F34">
        <v>181.08</v>
      </c>
      <c r="G34" t="s">
        <v>23</v>
      </c>
      <c r="H34" t="s">
        <v>27</v>
      </c>
      <c r="I34" t="s">
        <v>28</v>
      </c>
      <c r="J34" s="1">
        <v>43820</v>
      </c>
      <c r="K34" t="s">
        <v>16</v>
      </c>
    </row>
    <row r="35" spans="1:11" x14ac:dyDescent="0.3">
      <c r="A35" t="s">
        <v>74</v>
      </c>
      <c r="B35" s="4" t="s">
        <v>73</v>
      </c>
      <c r="C35">
        <v>38</v>
      </c>
      <c r="D35">
        <v>5</v>
      </c>
      <c r="E35">
        <v>5</v>
      </c>
      <c r="F35">
        <v>176.31</v>
      </c>
      <c r="G35" t="s">
        <v>54</v>
      </c>
      <c r="H35" t="s">
        <v>34</v>
      </c>
      <c r="I35" t="s">
        <v>21</v>
      </c>
      <c r="J35" s="1">
        <v>43847</v>
      </c>
      <c r="K35" t="s">
        <v>16</v>
      </c>
    </row>
    <row r="36" spans="1:11" x14ac:dyDescent="0.3">
      <c r="A36" t="s">
        <v>75</v>
      </c>
      <c r="B36" s="4" t="s">
        <v>76</v>
      </c>
      <c r="C36">
        <v>40</v>
      </c>
      <c r="D36">
        <v>7</v>
      </c>
      <c r="E36">
        <v>1</v>
      </c>
      <c r="F36">
        <v>165</v>
      </c>
      <c r="G36" t="s">
        <v>45</v>
      </c>
      <c r="H36" t="s">
        <v>48</v>
      </c>
      <c r="I36" t="s">
        <v>24</v>
      </c>
      <c r="J36" s="1">
        <v>43855</v>
      </c>
      <c r="K36" t="s">
        <v>16</v>
      </c>
    </row>
    <row r="37" spans="1:11" x14ac:dyDescent="0.3">
      <c r="A37" t="s">
        <v>77</v>
      </c>
      <c r="B37" s="4">
        <v>66</v>
      </c>
      <c r="C37">
        <v>46</v>
      </c>
      <c r="D37">
        <v>8</v>
      </c>
      <c r="E37">
        <v>1</v>
      </c>
      <c r="F37">
        <v>143.47</v>
      </c>
      <c r="G37" t="s">
        <v>42</v>
      </c>
      <c r="H37" t="s">
        <v>48</v>
      </c>
      <c r="I37" t="s">
        <v>63</v>
      </c>
      <c r="J37" s="1">
        <v>43818</v>
      </c>
      <c r="K37" t="s">
        <v>16</v>
      </c>
    </row>
    <row r="38" spans="1:11" x14ac:dyDescent="0.3">
      <c r="A38" t="s">
        <v>17</v>
      </c>
      <c r="B38" s="4">
        <v>66</v>
      </c>
      <c r="C38">
        <v>29</v>
      </c>
      <c r="D38">
        <v>7</v>
      </c>
      <c r="E38">
        <v>3</v>
      </c>
      <c r="F38">
        <v>227.58</v>
      </c>
      <c r="G38" t="s">
        <v>19</v>
      </c>
      <c r="H38" t="s">
        <v>48</v>
      </c>
      <c r="I38" t="s">
        <v>49</v>
      </c>
      <c r="J38" s="1">
        <v>43851</v>
      </c>
      <c r="K38" t="s">
        <v>16</v>
      </c>
    </row>
    <row r="39" spans="1:11" x14ac:dyDescent="0.3">
      <c r="A39" t="s">
        <v>74</v>
      </c>
      <c r="B39" s="4">
        <v>66</v>
      </c>
      <c r="C39">
        <v>33</v>
      </c>
      <c r="D39">
        <v>10</v>
      </c>
      <c r="E39">
        <v>2</v>
      </c>
      <c r="F39">
        <v>200</v>
      </c>
      <c r="G39" t="s">
        <v>54</v>
      </c>
      <c r="H39" t="s">
        <v>39</v>
      </c>
      <c r="I39" t="s">
        <v>21</v>
      </c>
      <c r="J39" s="1">
        <v>43856</v>
      </c>
      <c r="K39" t="s">
        <v>16</v>
      </c>
    </row>
    <row r="40" spans="1:11" x14ac:dyDescent="0.3">
      <c r="A40" t="s">
        <v>78</v>
      </c>
      <c r="B40" s="4" t="s">
        <v>79</v>
      </c>
      <c r="C40">
        <v>39</v>
      </c>
      <c r="D40">
        <v>6</v>
      </c>
      <c r="E40">
        <v>2</v>
      </c>
      <c r="F40">
        <v>166.66</v>
      </c>
      <c r="G40" t="s">
        <v>13</v>
      </c>
      <c r="H40" t="s">
        <v>20</v>
      </c>
      <c r="I40" t="s">
        <v>21</v>
      </c>
      <c r="J40" s="1">
        <v>43852</v>
      </c>
      <c r="K40" t="s">
        <v>16</v>
      </c>
    </row>
    <row r="41" spans="1:11" x14ac:dyDescent="0.3">
      <c r="A41" t="s">
        <v>50</v>
      </c>
      <c r="B41" s="4">
        <v>65</v>
      </c>
      <c r="C41">
        <v>45</v>
      </c>
      <c r="D41">
        <v>8</v>
      </c>
      <c r="E41">
        <v>1</v>
      </c>
      <c r="F41">
        <v>144.44</v>
      </c>
      <c r="G41" t="s">
        <v>13</v>
      </c>
      <c r="H41" t="s">
        <v>51</v>
      </c>
      <c r="I41" t="s">
        <v>24</v>
      </c>
      <c r="J41" s="1">
        <v>43832</v>
      </c>
      <c r="K41" t="s">
        <v>16</v>
      </c>
    </row>
    <row r="42" spans="1:11" x14ac:dyDescent="0.3">
      <c r="A42" t="s">
        <v>80</v>
      </c>
      <c r="B42" s="4">
        <v>65</v>
      </c>
      <c r="C42">
        <v>36</v>
      </c>
      <c r="D42">
        <v>10</v>
      </c>
      <c r="E42">
        <v>2</v>
      </c>
      <c r="F42">
        <v>180.55</v>
      </c>
      <c r="G42" t="s">
        <v>30</v>
      </c>
      <c r="H42" t="s">
        <v>39</v>
      </c>
      <c r="I42" t="s">
        <v>40</v>
      </c>
      <c r="J42" s="1">
        <v>43833</v>
      </c>
      <c r="K42" t="s">
        <v>16</v>
      </c>
    </row>
    <row r="43" spans="1:11" x14ac:dyDescent="0.3">
      <c r="A43" t="s">
        <v>81</v>
      </c>
      <c r="B43" s="4">
        <v>65</v>
      </c>
      <c r="C43">
        <v>47</v>
      </c>
      <c r="D43">
        <v>3</v>
      </c>
      <c r="E43">
        <v>4</v>
      </c>
      <c r="F43">
        <v>138.29</v>
      </c>
      <c r="G43" t="s">
        <v>30</v>
      </c>
      <c r="H43" t="s">
        <v>48</v>
      </c>
      <c r="I43" t="s">
        <v>49</v>
      </c>
      <c r="J43" s="1">
        <v>43857</v>
      </c>
      <c r="K43" t="s">
        <v>16</v>
      </c>
    </row>
    <row r="44" spans="1:11" x14ac:dyDescent="0.3">
      <c r="A44" t="s">
        <v>82</v>
      </c>
      <c r="B44" s="4">
        <v>64</v>
      </c>
      <c r="C44">
        <v>36</v>
      </c>
      <c r="D44">
        <v>6</v>
      </c>
      <c r="E44">
        <v>4</v>
      </c>
      <c r="F44">
        <v>177.77</v>
      </c>
      <c r="G44" t="s">
        <v>30</v>
      </c>
      <c r="H44" t="s">
        <v>66</v>
      </c>
      <c r="I44" t="s">
        <v>52</v>
      </c>
      <c r="J44" s="1">
        <v>43819</v>
      </c>
      <c r="K44" t="s">
        <v>16</v>
      </c>
    </row>
    <row r="45" spans="1:11" x14ac:dyDescent="0.3">
      <c r="A45" t="s">
        <v>68</v>
      </c>
      <c r="B45" s="4">
        <v>64</v>
      </c>
      <c r="C45">
        <v>45</v>
      </c>
      <c r="D45">
        <v>4</v>
      </c>
      <c r="E45">
        <v>3</v>
      </c>
      <c r="F45">
        <v>142.22</v>
      </c>
      <c r="G45" t="s">
        <v>19</v>
      </c>
      <c r="H45" t="s">
        <v>51</v>
      </c>
      <c r="I45" t="s">
        <v>40</v>
      </c>
      <c r="J45" s="1">
        <v>43854</v>
      </c>
      <c r="K45" t="s">
        <v>16</v>
      </c>
    </row>
    <row r="46" spans="1:11" x14ac:dyDescent="0.3">
      <c r="A46" t="s">
        <v>22</v>
      </c>
      <c r="B46" s="4" t="s">
        <v>83</v>
      </c>
      <c r="C46">
        <v>49</v>
      </c>
      <c r="D46">
        <v>2</v>
      </c>
      <c r="E46">
        <v>4</v>
      </c>
      <c r="F46">
        <v>128.57</v>
      </c>
      <c r="G46" t="s">
        <v>23</v>
      </c>
      <c r="H46" t="s">
        <v>34</v>
      </c>
      <c r="I46" t="s">
        <v>49</v>
      </c>
      <c r="J46" s="1">
        <v>43857</v>
      </c>
      <c r="K46" t="s">
        <v>16</v>
      </c>
    </row>
    <row r="47" spans="1:11" x14ac:dyDescent="0.3">
      <c r="A47" t="s">
        <v>77</v>
      </c>
      <c r="B47" s="4">
        <v>63</v>
      </c>
      <c r="C47">
        <v>50</v>
      </c>
      <c r="D47">
        <v>6</v>
      </c>
      <c r="E47">
        <v>1</v>
      </c>
      <c r="F47">
        <v>126</v>
      </c>
      <c r="G47" t="s">
        <v>42</v>
      </c>
      <c r="H47" t="s">
        <v>20</v>
      </c>
      <c r="I47" t="s">
        <v>21</v>
      </c>
      <c r="J47" s="1">
        <v>43830</v>
      </c>
      <c r="K47" t="s">
        <v>16</v>
      </c>
    </row>
    <row r="48" spans="1:11" x14ac:dyDescent="0.3">
      <c r="A48" t="s">
        <v>84</v>
      </c>
      <c r="B48" s="4">
        <v>63</v>
      </c>
      <c r="C48">
        <v>43</v>
      </c>
      <c r="D48">
        <v>7</v>
      </c>
      <c r="E48">
        <v>2</v>
      </c>
      <c r="F48">
        <v>146.51</v>
      </c>
      <c r="G48" t="s">
        <v>23</v>
      </c>
      <c r="H48" t="s">
        <v>66</v>
      </c>
      <c r="I48" t="s">
        <v>49</v>
      </c>
      <c r="J48" s="1">
        <v>43840</v>
      </c>
      <c r="K48" t="s">
        <v>16</v>
      </c>
    </row>
    <row r="49" spans="1:11" x14ac:dyDescent="0.3">
      <c r="A49" t="s">
        <v>85</v>
      </c>
      <c r="B49" s="4">
        <v>63</v>
      </c>
      <c r="C49">
        <v>30</v>
      </c>
      <c r="D49">
        <v>4</v>
      </c>
      <c r="E49">
        <v>4</v>
      </c>
      <c r="F49">
        <v>210</v>
      </c>
      <c r="G49" t="s">
        <v>23</v>
      </c>
      <c r="H49" t="s">
        <v>39</v>
      </c>
      <c r="I49" t="s">
        <v>49</v>
      </c>
      <c r="J49" s="1">
        <v>43851</v>
      </c>
      <c r="K49" t="s">
        <v>16</v>
      </c>
    </row>
    <row r="50" spans="1:11" x14ac:dyDescent="0.3">
      <c r="A50" t="s">
        <v>41</v>
      </c>
      <c r="B50" s="4">
        <v>63</v>
      </c>
      <c r="C50">
        <v>42</v>
      </c>
      <c r="D50">
        <v>5</v>
      </c>
      <c r="E50">
        <v>4</v>
      </c>
      <c r="F50">
        <v>150</v>
      </c>
      <c r="G50" t="s">
        <v>42</v>
      </c>
      <c r="H50" t="s">
        <v>39</v>
      </c>
      <c r="I50" t="s">
        <v>40</v>
      </c>
      <c r="J50" s="1">
        <v>43854</v>
      </c>
      <c r="K50" t="s">
        <v>16</v>
      </c>
    </row>
    <row r="51" spans="1:11" x14ac:dyDescent="0.3">
      <c r="A51" t="s">
        <v>11</v>
      </c>
      <c r="B51" s="4">
        <v>62</v>
      </c>
      <c r="C51">
        <v>37</v>
      </c>
      <c r="D51">
        <v>3</v>
      </c>
      <c r="E51">
        <v>4</v>
      </c>
      <c r="F51">
        <v>167.56</v>
      </c>
      <c r="G51" t="s">
        <v>13</v>
      </c>
      <c r="H51" t="s">
        <v>14</v>
      </c>
      <c r="I51" t="s">
        <v>24</v>
      </c>
      <c r="J51" s="1">
        <v>43850</v>
      </c>
      <c r="K51" t="s">
        <v>16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1"/>
  <sheetViews>
    <sheetView workbookViewId="0">
      <selection activeCell="A2" sqref="A2"/>
    </sheetView>
  </sheetViews>
  <sheetFormatPr defaultRowHeight="14.4" x14ac:dyDescent="0.3"/>
  <cols>
    <col min="1" max="1" width="14.33203125" customWidth="1"/>
    <col min="2" max="2" width="14.109375" customWidth="1"/>
    <col min="3" max="3" width="13.6640625" customWidth="1"/>
    <col min="5" max="5" width="9.88671875" customWidth="1"/>
    <col min="6" max="6" width="12" customWidth="1"/>
    <col min="7" max="7" width="14.88671875" customWidth="1"/>
    <col min="8" max="8" width="11.109375" customWidth="1"/>
    <col min="9" max="9" width="11.5546875" customWidth="1"/>
    <col min="10" max="10" width="17" bestFit="1" customWidth="1"/>
    <col min="11" max="11" width="12.33203125" customWidth="1"/>
  </cols>
  <sheetData>
    <row r="1" spans="1:13" x14ac:dyDescent="0.3">
      <c r="A1" s="2" t="s">
        <v>0</v>
      </c>
      <c r="B1" s="2" t="s">
        <v>105</v>
      </c>
      <c r="C1" s="2" t="s">
        <v>106</v>
      </c>
      <c r="D1" s="2" t="s">
        <v>107</v>
      </c>
      <c r="E1" s="2" t="s">
        <v>108</v>
      </c>
      <c r="F1" s="2" t="s">
        <v>109</v>
      </c>
      <c r="G1" s="2" t="s">
        <v>110</v>
      </c>
      <c r="H1" s="2" t="s">
        <v>111</v>
      </c>
      <c r="I1" s="2" t="s">
        <v>112</v>
      </c>
      <c r="J1" s="2" t="s">
        <v>113</v>
      </c>
      <c r="K1" s="2" t="s">
        <v>114</v>
      </c>
      <c r="L1" s="2" t="s">
        <v>3</v>
      </c>
      <c r="M1" s="2" t="s">
        <v>4</v>
      </c>
    </row>
    <row r="2" spans="1:13" x14ac:dyDescent="0.3">
      <c r="A2" t="s">
        <v>11</v>
      </c>
      <c r="B2">
        <v>17</v>
      </c>
      <c r="C2">
        <v>17</v>
      </c>
      <c r="D2">
        <v>4</v>
      </c>
      <c r="E2">
        <v>705</v>
      </c>
      <c r="F2">
        <v>147</v>
      </c>
      <c r="G2">
        <v>54.23</v>
      </c>
      <c r="H2">
        <v>516</v>
      </c>
      <c r="I2">
        <v>136.62</v>
      </c>
      <c r="J2">
        <v>1</v>
      </c>
      <c r="K2">
        <v>6</v>
      </c>
      <c r="L2">
        <v>62</v>
      </c>
      <c r="M2">
        <v>28</v>
      </c>
    </row>
    <row r="3" spans="1:13" x14ac:dyDescent="0.3">
      <c r="A3" t="s">
        <v>41</v>
      </c>
      <c r="B3">
        <v>17</v>
      </c>
      <c r="C3">
        <v>17</v>
      </c>
      <c r="D3">
        <v>2</v>
      </c>
      <c r="E3">
        <v>576</v>
      </c>
      <c r="F3">
        <v>85</v>
      </c>
      <c r="G3">
        <v>38.4</v>
      </c>
      <c r="H3">
        <v>392</v>
      </c>
      <c r="I3">
        <v>146.93</v>
      </c>
      <c r="J3">
        <v>0</v>
      </c>
      <c r="K3">
        <v>6</v>
      </c>
      <c r="L3">
        <v>59</v>
      </c>
      <c r="M3">
        <v>23</v>
      </c>
    </row>
    <row r="4" spans="1:13" x14ac:dyDescent="0.3">
      <c r="A4" t="s">
        <v>43</v>
      </c>
      <c r="B4">
        <v>16</v>
      </c>
      <c r="C4">
        <v>16</v>
      </c>
      <c r="D4">
        <v>3</v>
      </c>
      <c r="E4">
        <v>487</v>
      </c>
      <c r="F4">
        <v>83</v>
      </c>
      <c r="G4">
        <v>37.46</v>
      </c>
      <c r="H4">
        <v>375</v>
      </c>
      <c r="I4">
        <v>129.86000000000001</v>
      </c>
      <c r="J4">
        <v>0</v>
      </c>
      <c r="K4">
        <v>5</v>
      </c>
      <c r="L4">
        <v>41</v>
      </c>
      <c r="M4">
        <v>16</v>
      </c>
    </row>
    <row r="5" spans="1:13" x14ac:dyDescent="0.3">
      <c r="A5" t="s">
        <v>70</v>
      </c>
      <c r="B5">
        <v>15</v>
      </c>
      <c r="C5">
        <v>14</v>
      </c>
      <c r="D5">
        <v>7</v>
      </c>
      <c r="E5">
        <v>478</v>
      </c>
      <c r="F5">
        <v>68</v>
      </c>
      <c r="G5">
        <v>68.28</v>
      </c>
      <c r="H5">
        <v>353</v>
      </c>
      <c r="I5">
        <v>135.41</v>
      </c>
      <c r="J5">
        <v>0</v>
      </c>
      <c r="K5">
        <v>4</v>
      </c>
      <c r="L5">
        <v>38</v>
      </c>
      <c r="M5">
        <v>9</v>
      </c>
    </row>
    <row r="6" spans="1:13" x14ac:dyDescent="0.3">
      <c r="A6" t="s">
        <v>84</v>
      </c>
      <c r="B6">
        <v>12</v>
      </c>
      <c r="C6">
        <v>12</v>
      </c>
      <c r="D6">
        <v>0</v>
      </c>
      <c r="E6">
        <v>449</v>
      </c>
      <c r="F6">
        <v>63</v>
      </c>
      <c r="G6">
        <v>37.409999999999997</v>
      </c>
      <c r="H6">
        <v>362</v>
      </c>
      <c r="I6">
        <v>124.03</v>
      </c>
      <c r="J6">
        <v>0</v>
      </c>
      <c r="K6">
        <v>3</v>
      </c>
      <c r="L6">
        <v>40</v>
      </c>
      <c r="M6">
        <v>14</v>
      </c>
    </row>
    <row r="7" spans="1:13" x14ac:dyDescent="0.3">
      <c r="A7" t="s">
        <v>58</v>
      </c>
      <c r="B7">
        <v>14</v>
      </c>
      <c r="C7">
        <v>14</v>
      </c>
      <c r="D7">
        <v>0</v>
      </c>
      <c r="E7">
        <v>425</v>
      </c>
      <c r="F7">
        <v>79</v>
      </c>
      <c r="G7">
        <v>30.35</v>
      </c>
      <c r="H7">
        <v>298</v>
      </c>
      <c r="I7">
        <v>142.61000000000001</v>
      </c>
      <c r="J7">
        <v>0</v>
      </c>
      <c r="K7">
        <v>4</v>
      </c>
      <c r="L7">
        <v>26</v>
      </c>
      <c r="M7">
        <v>27</v>
      </c>
    </row>
    <row r="8" spans="1:13" x14ac:dyDescent="0.3">
      <c r="A8" t="s">
        <v>72</v>
      </c>
      <c r="B8">
        <v>14</v>
      </c>
      <c r="C8">
        <v>14</v>
      </c>
      <c r="D8">
        <v>4</v>
      </c>
      <c r="E8">
        <v>425</v>
      </c>
      <c r="F8">
        <v>67</v>
      </c>
      <c r="G8">
        <v>42.5</v>
      </c>
      <c r="H8">
        <v>322</v>
      </c>
      <c r="I8">
        <v>131.97999999999999</v>
      </c>
      <c r="J8">
        <v>0</v>
      </c>
      <c r="K8">
        <v>3</v>
      </c>
      <c r="L8">
        <v>26</v>
      </c>
      <c r="M8">
        <v>17</v>
      </c>
    </row>
    <row r="9" spans="1:13" x14ac:dyDescent="0.3">
      <c r="A9" t="s">
        <v>53</v>
      </c>
      <c r="B9">
        <v>15</v>
      </c>
      <c r="C9">
        <v>15</v>
      </c>
      <c r="D9">
        <v>1</v>
      </c>
      <c r="E9">
        <v>407</v>
      </c>
      <c r="F9">
        <v>83</v>
      </c>
      <c r="G9">
        <v>29.07</v>
      </c>
      <c r="H9">
        <v>304</v>
      </c>
      <c r="I9">
        <v>133.88</v>
      </c>
      <c r="J9">
        <v>0</v>
      </c>
      <c r="K9">
        <v>2</v>
      </c>
      <c r="L9">
        <v>47</v>
      </c>
      <c r="M9">
        <v>13</v>
      </c>
    </row>
    <row r="10" spans="1:13" x14ac:dyDescent="0.3">
      <c r="A10" t="s">
        <v>64</v>
      </c>
      <c r="B10">
        <v>14</v>
      </c>
      <c r="C10">
        <v>14</v>
      </c>
      <c r="D10">
        <v>0</v>
      </c>
      <c r="E10">
        <v>405</v>
      </c>
      <c r="F10">
        <v>73</v>
      </c>
      <c r="G10">
        <v>28.92</v>
      </c>
      <c r="H10">
        <v>263</v>
      </c>
      <c r="I10">
        <v>153.99</v>
      </c>
      <c r="J10">
        <v>0</v>
      </c>
      <c r="K10">
        <v>4</v>
      </c>
      <c r="L10">
        <v>41</v>
      </c>
      <c r="M10">
        <v>15</v>
      </c>
    </row>
    <row r="11" spans="1:13" x14ac:dyDescent="0.3">
      <c r="A11" t="s">
        <v>47</v>
      </c>
      <c r="B11">
        <v>17</v>
      </c>
      <c r="C11">
        <v>16</v>
      </c>
      <c r="D11">
        <v>6</v>
      </c>
      <c r="E11">
        <v>398</v>
      </c>
      <c r="F11">
        <v>83</v>
      </c>
      <c r="G11">
        <v>39.799999999999997</v>
      </c>
      <c r="H11">
        <v>268</v>
      </c>
      <c r="I11">
        <v>148.5</v>
      </c>
      <c r="J11">
        <v>0</v>
      </c>
      <c r="K11">
        <v>3</v>
      </c>
      <c r="L11">
        <v>28</v>
      </c>
      <c r="M11">
        <v>20</v>
      </c>
    </row>
    <row r="12" spans="1:13" x14ac:dyDescent="0.3">
      <c r="A12" t="s">
        <v>88</v>
      </c>
      <c r="B12">
        <v>11</v>
      </c>
      <c r="C12">
        <v>11</v>
      </c>
      <c r="D12">
        <v>0</v>
      </c>
      <c r="E12">
        <v>391</v>
      </c>
      <c r="F12">
        <v>55</v>
      </c>
      <c r="G12">
        <v>35.54</v>
      </c>
      <c r="H12">
        <v>312</v>
      </c>
      <c r="I12">
        <v>125.32</v>
      </c>
      <c r="J12">
        <v>0</v>
      </c>
      <c r="K12">
        <v>1</v>
      </c>
      <c r="L12">
        <v>30</v>
      </c>
      <c r="M12">
        <v>13</v>
      </c>
    </row>
    <row r="13" spans="1:13" x14ac:dyDescent="0.3">
      <c r="A13" t="s">
        <v>77</v>
      </c>
      <c r="B13">
        <v>17</v>
      </c>
      <c r="C13">
        <v>17</v>
      </c>
      <c r="D13">
        <v>0</v>
      </c>
      <c r="E13">
        <v>388</v>
      </c>
      <c r="F13">
        <v>66</v>
      </c>
      <c r="G13">
        <v>22.82</v>
      </c>
      <c r="H13">
        <v>312</v>
      </c>
      <c r="I13">
        <v>124.35</v>
      </c>
      <c r="J13">
        <v>0</v>
      </c>
      <c r="K13">
        <v>3</v>
      </c>
      <c r="L13">
        <v>42</v>
      </c>
      <c r="M13">
        <v>5</v>
      </c>
    </row>
    <row r="14" spans="1:13" x14ac:dyDescent="0.3">
      <c r="A14" t="s">
        <v>29</v>
      </c>
      <c r="B14">
        <v>14</v>
      </c>
      <c r="C14">
        <v>14</v>
      </c>
      <c r="D14">
        <v>1</v>
      </c>
      <c r="E14">
        <v>387</v>
      </c>
      <c r="F14">
        <v>94</v>
      </c>
      <c r="G14">
        <v>29.76</v>
      </c>
      <c r="H14">
        <v>260</v>
      </c>
      <c r="I14">
        <v>148.84</v>
      </c>
      <c r="J14">
        <v>0</v>
      </c>
      <c r="K14">
        <v>2</v>
      </c>
      <c r="L14">
        <v>36</v>
      </c>
      <c r="M14">
        <v>23</v>
      </c>
    </row>
    <row r="15" spans="1:13" x14ac:dyDescent="0.3">
      <c r="A15" t="s">
        <v>31</v>
      </c>
      <c r="B15">
        <v>14</v>
      </c>
      <c r="C15">
        <v>14</v>
      </c>
      <c r="D15">
        <v>3</v>
      </c>
      <c r="E15">
        <v>382</v>
      </c>
      <c r="F15">
        <v>93</v>
      </c>
      <c r="G15">
        <v>34.72</v>
      </c>
      <c r="H15">
        <v>263</v>
      </c>
      <c r="I15">
        <v>145.24</v>
      </c>
      <c r="J15">
        <v>0</v>
      </c>
      <c r="K15">
        <v>2</v>
      </c>
      <c r="L15">
        <v>19</v>
      </c>
      <c r="M15">
        <v>20</v>
      </c>
    </row>
    <row r="16" spans="1:13" x14ac:dyDescent="0.3">
      <c r="A16" t="s">
        <v>59</v>
      </c>
      <c r="B16">
        <v>17</v>
      </c>
      <c r="C16">
        <v>17</v>
      </c>
      <c r="D16">
        <v>4</v>
      </c>
      <c r="E16">
        <v>376</v>
      </c>
      <c r="F16">
        <v>73</v>
      </c>
      <c r="G16">
        <v>28.92</v>
      </c>
      <c r="H16">
        <v>297</v>
      </c>
      <c r="I16">
        <v>126.59</v>
      </c>
      <c r="J16">
        <v>0</v>
      </c>
      <c r="K16">
        <v>3</v>
      </c>
      <c r="L16">
        <v>35</v>
      </c>
      <c r="M16">
        <v>8</v>
      </c>
    </row>
    <row r="17" spans="1:13" x14ac:dyDescent="0.3">
      <c r="A17" t="s">
        <v>87</v>
      </c>
      <c r="B17">
        <v>17</v>
      </c>
      <c r="C17">
        <v>15</v>
      </c>
      <c r="D17">
        <v>5</v>
      </c>
      <c r="E17">
        <v>372</v>
      </c>
      <c r="F17">
        <v>58</v>
      </c>
      <c r="G17">
        <v>37.200000000000003</v>
      </c>
      <c r="H17">
        <v>286</v>
      </c>
      <c r="I17">
        <v>130.06</v>
      </c>
      <c r="J17">
        <v>0</v>
      </c>
      <c r="K17">
        <v>2</v>
      </c>
      <c r="L17">
        <v>25</v>
      </c>
      <c r="M17">
        <v>14</v>
      </c>
    </row>
    <row r="18" spans="1:13" x14ac:dyDescent="0.3">
      <c r="A18" t="s">
        <v>22</v>
      </c>
      <c r="B18">
        <v>9</v>
      </c>
      <c r="C18">
        <v>9</v>
      </c>
      <c r="D18">
        <v>1</v>
      </c>
      <c r="E18">
        <v>363</v>
      </c>
      <c r="F18">
        <v>109</v>
      </c>
      <c r="G18">
        <v>45.37</v>
      </c>
      <c r="H18">
        <v>261</v>
      </c>
      <c r="I18">
        <v>139.08000000000001</v>
      </c>
      <c r="J18">
        <v>1</v>
      </c>
      <c r="K18">
        <v>3</v>
      </c>
      <c r="L18">
        <v>23</v>
      </c>
      <c r="M18">
        <v>16</v>
      </c>
    </row>
    <row r="19" spans="1:13" x14ac:dyDescent="0.3">
      <c r="A19" t="s">
        <v>74</v>
      </c>
      <c r="B19">
        <v>15</v>
      </c>
      <c r="C19">
        <v>15</v>
      </c>
      <c r="D19">
        <v>1</v>
      </c>
      <c r="E19">
        <v>361</v>
      </c>
      <c r="F19">
        <v>67</v>
      </c>
      <c r="G19">
        <v>25.78</v>
      </c>
      <c r="H19">
        <v>220</v>
      </c>
      <c r="I19">
        <v>164.09</v>
      </c>
      <c r="J19">
        <v>0</v>
      </c>
      <c r="K19">
        <v>4</v>
      </c>
      <c r="L19">
        <v>45</v>
      </c>
      <c r="M19">
        <v>12</v>
      </c>
    </row>
    <row r="20" spans="1:13" x14ac:dyDescent="0.3">
      <c r="A20" t="s">
        <v>25</v>
      </c>
      <c r="B20">
        <v>9</v>
      </c>
      <c r="C20">
        <v>9</v>
      </c>
      <c r="D20">
        <v>1</v>
      </c>
      <c r="E20">
        <v>357</v>
      </c>
      <c r="F20">
        <v>103</v>
      </c>
      <c r="G20">
        <v>44.62</v>
      </c>
      <c r="H20">
        <v>272</v>
      </c>
      <c r="I20">
        <v>131.25</v>
      </c>
      <c r="J20">
        <v>1</v>
      </c>
      <c r="K20">
        <v>3</v>
      </c>
      <c r="L20">
        <v>28</v>
      </c>
      <c r="M20">
        <v>14</v>
      </c>
    </row>
    <row r="21" spans="1:13" x14ac:dyDescent="0.3">
      <c r="A21" t="s">
        <v>17</v>
      </c>
      <c r="B21">
        <v>9</v>
      </c>
      <c r="C21">
        <v>8</v>
      </c>
      <c r="D21">
        <v>1</v>
      </c>
      <c r="E21">
        <v>351</v>
      </c>
      <c r="F21">
        <v>130</v>
      </c>
      <c r="G21">
        <v>50.14</v>
      </c>
      <c r="H21">
        <v>205</v>
      </c>
      <c r="I21">
        <v>171.21</v>
      </c>
      <c r="J21">
        <v>1</v>
      </c>
      <c r="K21">
        <v>3</v>
      </c>
      <c r="L21">
        <v>30</v>
      </c>
      <c r="M21">
        <v>15</v>
      </c>
    </row>
    <row r="22" spans="1:13" x14ac:dyDescent="0.3">
      <c r="A22" t="s">
        <v>81</v>
      </c>
      <c r="B22">
        <v>14</v>
      </c>
      <c r="C22">
        <v>14</v>
      </c>
      <c r="D22">
        <v>2</v>
      </c>
      <c r="E22">
        <v>348</v>
      </c>
      <c r="F22">
        <v>65</v>
      </c>
      <c r="G22">
        <v>29</v>
      </c>
      <c r="H22">
        <v>268</v>
      </c>
      <c r="I22">
        <v>129.85</v>
      </c>
      <c r="J22">
        <v>0</v>
      </c>
      <c r="K22">
        <v>3</v>
      </c>
      <c r="L22">
        <v>27</v>
      </c>
      <c r="M22">
        <v>13</v>
      </c>
    </row>
    <row r="23" spans="1:13" x14ac:dyDescent="0.3">
      <c r="A23" t="s">
        <v>93</v>
      </c>
      <c r="B23">
        <v>15</v>
      </c>
      <c r="C23">
        <v>15</v>
      </c>
      <c r="D23">
        <v>1</v>
      </c>
      <c r="E23">
        <v>323</v>
      </c>
      <c r="F23">
        <v>51</v>
      </c>
      <c r="G23">
        <v>23.07</v>
      </c>
      <c r="H23">
        <v>262</v>
      </c>
      <c r="I23">
        <v>123.28</v>
      </c>
      <c r="J23">
        <v>0</v>
      </c>
      <c r="K23">
        <v>1</v>
      </c>
      <c r="L23">
        <v>24</v>
      </c>
      <c r="M23">
        <v>9</v>
      </c>
    </row>
    <row r="24" spans="1:13" x14ac:dyDescent="0.3">
      <c r="A24" t="s">
        <v>50</v>
      </c>
      <c r="B24">
        <v>14</v>
      </c>
      <c r="C24">
        <v>11</v>
      </c>
      <c r="D24">
        <v>3</v>
      </c>
      <c r="E24">
        <v>297</v>
      </c>
      <c r="F24">
        <v>83</v>
      </c>
      <c r="G24">
        <v>37.119999999999997</v>
      </c>
      <c r="H24">
        <v>217</v>
      </c>
      <c r="I24">
        <v>136.86000000000001</v>
      </c>
      <c r="J24">
        <v>0</v>
      </c>
      <c r="K24">
        <v>2</v>
      </c>
      <c r="L24">
        <v>29</v>
      </c>
      <c r="M24">
        <v>8</v>
      </c>
    </row>
    <row r="25" spans="1:13" x14ac:dyDescent="0.3">
      <c r="A25" t="s">
        <v>89</v>
      </c>
      <c r="B25">
        <v>14</v>
      </c>
      <c r="C25">
        <v>13</v>
      </c>
      <c r="D25">
        <v>3</v>
      </c>
      <c r="E25">
        <v>290</v>
      </c>
      <c r="F25">
        <v>51</v>
      </c>
      <c r="G25">
        <v>29</v>
      </c>
      <c r="H25">
        <v>257</v>
      </c>
      <c r="I25">
        <v>112.84</v>
      </c>
      <c r="J25">
        <v>0</v>
      </c>
      <c r="K25">
        <v>2</v>
      </c>
      <c r="L25">
        <v>16</v>
      </c>
      <c r="M25">
        <v>7</v>
      </c>
    </row>
    <row r="26" spans="1:13" x14ac:dyDescent="0.3">
      <c r="A26" t="s">
        <v>62</v>
      </c>
      <c r="B26">
        <v>12</v>
      </c>
      <c r="C26">
        <v>12</v>
      </c>
      <c r="D26">
        <v>1</v>
      </c>
      <c r="E26">
        <v>279</v>
      </c>
      <c r="F26">
        <v>73</v>
      </c>
      <c r="G26">
        <v>25.36</v>
      </c>
      <c r="H26">
        <v>193</v>
      </c>
      <c r="I26">
        <v>144.55000000000001</v>
      </c>
      <c r="J26">
        <v>0</v>
      </c>
      <c r="K26">
        <v>2</v>
      </c>
      <c r="L26">
        <v>28</v>
      </c>
      <c r="M26">
        <v>10</v>
      </c>
    </row>
    <row r="27" spans="1:13" x14ac:dyDescent="0.3">
      <c r="A27" t="s">
        <v>65</v>
      </c>
      <c r="B27">
        <v>14</v>
      </c>
      <c r="C27">
        <v>14</v>
      </c>
      <c r="D27">
        <v>3</v>
      </c>
      <c r="E27">
        <v>267</v>
      </c>
      <c r="F27">
        <v>72</v>
      </c>
      <c r="G27">
        <v>24.27</v>
      </c>
      <c r="H27">
        <v>180</v>
      </c>
      <c r="I27">
        <v>148.33000000000001</v>
      </c>
      <c r="J27">
        <v>0</v>
      </c>
      <c r="K27">
        <v>1</v>
      </c>
      <c r="L27">
        <v>12</v>
      </c>
      <c r="M27">
        <v>15</v>
      </c>
    </row>
    <row r="28" spans="1:13" x14ac:dyDescent="0.3">
      <c r="A28" t="s">
        <v>95</v>
      </c>
      <c r="B28">
        <v>16</v>
      </c>
      <c r="C28">
        <v>15</v>
      </c>
      <c r="D28">
        <v>2</v>
      </c>
      <c r="E28">
        <v>267</v>
      </c>
      <c r="F28">
        <v>40</v>
      </c>
      <c r="G28">
        <v>20.53</v>
      </c>
      <c r="H28">
        <v>215</v>
      </c>
      <c r="I28">
        <v>124.18</v>
      </c>
      <c r="J28">
        <v>0</v>
      </c>
      <c r="K28">
        <v>0</v>
      </c>
      <c r="L28">
        <v>28</v>
      </c>
      <c r="M28">
        <v>4</v>
      </c>
    </row>
    <row r="29" spans="1:13" x14ac:dyDescent="0.3">
      <c r="A29" t="s">
        <v>91</v>
      </c>
      <c r="B29">
        <v>15</v>
      </c>
      <c r="C29">
        <v>14</v>
      </c>
      <c r="D29">
        <v>4</v>
      </c>
      <c r="E29">
        <v>265</v>
      </c>
      <c r="F29">
        <v>51</v>
      </c>
      <c r="G29">
        <v>26.5</v>
      </c>
      <c r="H29">
        <v>216</v>
      </c>
      <c r="I29">
        <v>122.68</v>
      </c>
      <c r="J29">
        <v>0</v>
      </c>
      <c r="K29">
        <v>1</v>
      </c>
      <c r="L29">
        <v>11</v>
      </c>
      <c r="M29">
        <v>11</v>
      </c>
    </row>
    <row r="30" spans="1:13" x14ac:dyDescent="0.3">
      <c r="A30" t="s">
        <v>86</v>
      </c>
      <c r="B30">
        <v>9</v>
      </c>
      <c r="C30">
        <v>8</v>
      </c>
      <c r="D30">
        <v>2</v>
      </c>
      <c r="E30">
        <v>230</v>
      </c>
      <c r="F30">
        <v>59</v>
      </c>
      <c r="G30">
        <v>38.33</v>
      </c>
      <c r="H30">
        <v>182</v>
      </c>
      <c r="I30">
        <v>126.37</v>
      </c>
      <c r="J30">
        <v>0</v>
      </c>
      <c r="K30">
        <v>2</v>
      </c>
      <c r="L30">
        <v>27</v>
      </c>
      <c r="M30">
        <v>6</v>
      </c>
    </row>
    <row r="31" spans="1:13" x14ac:dyDescent="0.3">
      <c r="A31" t="s">
        <v>57</v>
      </c>
      <c r="B31">
        <v>8</v>
      </c>
      <c r="C31">
        <v>7</v>
      </c>
      <c r="D31">
        <v>0</v>
      </c>
      <c r="E31">
        <v>228</v>
      </c>
      <c r="F31">
        <v>79</v>
      </c>
      <c r="G31">
        <v>32.57</v>
      </c>
      <c r="H31">
        <v>162</v>
      </c>
      <c r="I31">
        <v>140.74</v>
      </c>
      <c r="J31">
        <v>0</v>
      </c>
      <c r="K31">
        <v>1</v>
      </c>
      <c r="L31">
        <v>19</v>
      </c>
      <c r="M31">
        <v>10</v>
      </c>
    </row>
    <row r="32" spans="1:13" x14ac:dyDescent="0.3">
      <c r="A32" t="s">
        <v>82</v>
      </c>
      <c r="B32">
        <v>7</v>
      </c>
      <c r="C32">
        <v>7</v>
      </c>
      <c r="D32">
        <v>0</v>
      </c>
      <c r="E32">
        <v>223</v>
      </c>
      <c r="F32">
        <v>64</v>
      </c>
      <c r="G32">
        <v>31.85</v>
      </c>
      <c r="H32">
        <v>126</v>
      </c>
      <c r="I32">
        <v>176.98</v>
      </c>
      <c r="J32">
        <v>0</v>
      </c>
      <c r="K32">
        <v>3</v>
      </c>
      <c r="L32">
        <v>18</v>
      </c>
      <c r="M32">
        <v>16</v>
      </c>
    </row>
    <row r="33" spans="1:13" x14ac:dyDescent="0.3">
      <c r="A33" t="s">
        <v>92</v>
      </c>
      <c r="B33">
        <v>14</v>
      </c>
      <c r="C33">
        <v>13</v>
      </c>
      <c r="D33">
        <v>4</v>
      </c>
      <c r="E33">
        <v>217</v>
      </c>
      <c r="F33">
        <v>43</v>
      </c>
      <c r="G33">
        <v>24.11</v>
      </c>
      <c r="H33">
        <v>177</v>
      </c>
      <c r="I33">
        <v>122.59</v>
      </c>
      <c r="J33">
        <v>0</v>
      </c>
      <c r="K33">
        <v>0</v>
      </c>
      <c r="L33">
        <v>17</v>
      </c>
      <c r="M33">
        <v>10</v>
      </c>
    </row>
    <row r="34" spans="1:13" x14ac:dyDescent="0.3">
      <c r="A34" t="s">
        <v>35</v>
      </c>
      <c r="B34">
        <v>14</v>
      </c>
      <c r="C34">
        <v>12</v>
      </c>
      <c r="D34">
        <v>3</v>
      </c>
      <c r="E34">
        <v>198</v>
      </c>
      <c r="F34">
        <v>90</v>
      </c>
      <c r="G34">
        <v>22</v>
      </c>
      <c r="H34">
        <v>151</v>
      </c>
      <c r="I34">
        <v>131.12</v>
      </c>
      <c r="J34">
        <v>0</v>
      </c>
      <c r="K34">
        <v>1</v>
      </c>
      <c r="L34">
        <v>10</v>
      </c>
      <c r="M34">
        <v>9</v>
      </c>
    </row>
    <row r="35" spans="1:13" x14ac:dyDescent="0.3">
      <c r="A35" t="s">
        <v>78</v>
      </c>
      <c r="B35">
        <v>12</v>
      </c>
      <c r="C35">
        <v>10</v>
      </c>
      <c r="D35">
        <v>4</v>
      </c>
      <c r="E35">
        <v>188</v>
      </c>
      <c r="F35">
        <v>65</v>
      </c>
      <c r="G35">
        <v>31.33</v>
      </c>
      <c r="H35">
        <v>146</v>
      </c>
      <c r="I35">
        <v>128.76</v>
      </c>
      <c r="J35">
        <v>0</v>
      </c>
      <c r="K35">
        <v>1</v>
      </c>
      <c r="L35">
        <v>14</v>
      </c>
      <c r="M35">
        <v>5</v>
      </c>
    </row>
    <row r="36" spans="1:13" x14ac:dyDescent="0.3">
      <c r="A36" t="s">
        <v>90</v>
      </c>
      <c r="B36">
        <v>16</v>
      </c>
      <c r="C36">
        <v>10</v>
      </c>
      <c r="D36">
        <v>3</v>
      </c>
      <c r="E36">
        <v>188</v>
      </c>
      <c r="F36">
        <v>36</v>
      </c>
      <c r="G36">
        <v>26.85</v>
      </c>
      <c r="H36">
        <v>177</v>
      </c>
      <c r="I36">
        <v>106.21</v>
      </c>
      <c r="J36">
        <v>0</v>
      </c>
      <c r="K36">
        <v>0</v>
      </c>
      <c r="L36">
        <v>7</v>
      </c>
      <c r="M36">
        <v>3</v>
      </c>
    </row>
    <row r="37" spans="1:13" x14ac:dyDescent="0.3">
      <c r="A37" t="s">
        <v>96</v>
      </c>
      <c r="B37">
        <v>11</v>
      </c>
      <c r="C37">
        <v>10</v>
      </c>
      <c r="D37">
        <v>0</v>
      </c>
      <c r="E37">
        <v>181</v>
      </c>
      <c r="F37">
        <v>31</v>
      </c>
      <c r="G37">
        <v>18.100000000000001</v>
      </c>
      <c r="H37">
        <v>164</v>
      </c>
      <c r="I37">
        <v>110.36</v>
      </c>
      <c r="J37">
        <v>0</v>
      </c>
      <c r="K37">
        <v>0</v>
      </c>
      <c r="L37">
        <v>21</v>
      </c>
      <c r="M37">
        <v>1</v>
      </c>
    </row>
    <row r="38" spans="1:13" x14ac:dyDescent="0.3">
      <c r="A38" t="s">
        <v>97</v>
      </c>
      <c r="B38">
        <v>15</v>
      </c>
      <c r="C38">
        <v>13</v>
      </c>
      <c r="D38">
        <v>2</v>
      </c>
      <c r="E38">
        <v>176</v>
      </c>
      <c r="F38">
        <v>41</v>
      </c>
      <c r="G38">
        <v>16</v>
      </c>
      <c r="H38">
        <v>128</v>
      </c>
      <c r="I38">
        <v>137.5</v>
      </c>
      <c r="J38">
        <v>0</v>
      </c>
      <c r="K38">
        <v>0</v>
      </c>
      <c r="L38">
        <v>11</v>
      </c>
      <c r="M38">
        <v>8</v>
      </c>
    </row>
    <row r="39" spans="1:13" x14ac:dyDescent="0.3">
      <c r="A39" t="s">
        <v>94</v>
      </c>
      <c r="B39">
        <v>14</v>
      </c>
      <c r="C39">
        <v>9</v>
      </c>
      <c r="D39">
        <v>1</v>
      </c>
      <c r="E39">
        <v>173</v>
      </c>
      <c r="F39">
        <v>43</v>
      </c>
      <c r="G39">
        <v>21.62</v>
      </c>
      <c r="H39">
        <v>116</v>
      </c>
      <c r="I39">
        <v>149.13</v>
      </c>
      <c r="J39">
        <v>0</v>
      </c>
      <c r="K39">
        <v>0</v>
      </c>
      <c r="L39">
        <v>15</v>
      </c>
      <c r="M39">
        <v>8</v>
      </c>
    </row>
    <row r="40" spans="1:13" x14ac:dyDescent="0.3">
      <c r="A40" t="s">
        <v>85</v>
      </c>
      <c r="B40">
        <v>6</v>
      </c>
      <c r="C40">
        <v>6</v>
      </c>
      <c r="D40">
        <v>3</v>
      </c>
      <c r="E40">
        <v>160</v>
      </c>
      <c r="F40">
        <v>63</v>
      </c>
      <c r="G40">
        <v>53.33</v>
      </c>
      <c r="H40">
        <v>100</v>
      </c>
      <c r="I40">
        <v>160</v>
      </c>
      <c r="J40">
        <v>0</v>
      </c>
      <c r="K40">
        <v>1</v>
      </c>
      <c r="L40">
        <v>11</v>
      </c>
      <c r="M40">
        <v>7</v>
      </c>
    </row>
    <row r="41" spans="1:13" x14ac:dyDescent="0.3">
      <c r="A41" t="s">
        <v>68</v>
      </c>
      <c r="B41">
        <v>5</v>
      </c>
      <c r="C41">
        <v>4</v>
      </c>
      <c r="D41">
        <v>1</v>
      </c>
      <c r="E41">
        <v>149</v>
      </c>
      <c r="F41">
        <v>70</v>
      </c>
      <c r="G41">
        <v>49.66</v>
      </c>
      <c r="H41">
        <v>119</v>
      </c>
      <c r="I41">
        <v>125.21</v>
      </c>
      <c r="J41">
        <v>0</v>
      </c>
      <c r="K41">
        <v>2</v>
      </c>
      <c r="L41">
        <v>11</v>
      </c>
      <c r="M41">
        <v>5</v>
      </c>
    </row>
    <row r="42" spans="1:13" x14ac:dyDescent="0.3">
      <c r="A42" t="s">
        <v>67</v>
      </c>
      <c r="B42">
        <v>6</v>
      </c>
      <c r="C42">
        <v>6</v>
      </c>
      <c r="D42">
        <v>0</v>
      </c>
      <c r="E42">
        <v>146</v>
      </c>
      <c r="F42">
        <v>71</v>
      </c>
      <c r="G42">
        <v>24.33</v>
      </c>
      <c r="H42">
        <v>104</v>
      </c>
      <c r="I42">
        <v>140.38</v>
      </c>
      <c r="J42">
        <v>0</v>
      </c>
      <c r="K42">
        <v>1</v>
      </c>
      <c r="L42">
        <v>8</v>
      </c>
      <c r="M42">
        <v>6</v>
      </c>
    </row>
    <row r="43" spans="1:13" x14ac:dyDescent="0.3">
      <c r="A43" t="s">
        <v>80</v>
      </c>
      <c r="B43">
        <v>10</v>
      </c>
      <c r="C43">
        <v>10</v>
      </c>
      <c r="D43">
        <v>0</v>
      </c>
      <c r="E43">
        <v>145</v>
      </c>
      <c r="F43">
        <v>65</v>
      </c>
      <c r="G43">
        <v>14.5</v>
      </c>
      <c r="H43">
        <v>101</v>
      </c>
      <c r="I43">
        <v>143.56</v>
      </c>
      <c r="J43">
        <v>0</v>
      </c>
      <c r="K43">
        <v>1</v>
      </c>
      <c r="L43">
        <v>19</v>
      </c>
      <c r="M43">
        <v>5</v>
      </c>
    </row>
    <row r="44" spans="1:13" x14ac:dyDescent="0.3">
      <c r="A44" t="s">
        <v>98</v>
      </c>
      <c r="B44">
        <v>14</v>
      </c>
      <c r="C44">
        <v>14</v>
      </c>
      <c r="D44">
        <v>0</v>
      </c>
      <c r="E44">
        <v>143</v>
      </c>
      <c r="F44">
        <v>40</v>
      </c>
      <c r="G44">
        <v>10.210000000000001</v>
      </c>
      <c r="H44">
        <v>161</v>
      </c>
      <c r="I44">
        <v>88.81</v>
      </c>
      <c r="J44">
        <v>0</v>
      </c>
      <c r="K44">
        <v>0</v>
      </c>
      <c r="L44">
        <v>17</v>
      </c>
      <c r="M44">
        <v>2</v>
      </c>
    </row>
    <row r="45" spans="1:13" x14ac:dyDescent="0.3">
      <c r="A45" t="s">
        <v>99</v>
      </c>
      <c r="B45">
        <v>8</v>
      </c>
      <c r="C45">
        <v>8</v>
      </c>
      <c r="D45">
        <v>0</v>
      </c>
      <c r="E45">
        <v>133</v>
      </c>
      <c r="F45">
        <v>56</v>
      </c>
      <c r="G45">
        <v>16.62</v>
      </c>
      <c r="H45">
        <v>104</v>
      </c>
      <c r="I45">
        <v>127.88</v>
      </c>
      <c r="J45">
        <v>0</v>
      </c>
      <c r="K45">
        <v>1</v>
      </c>
      <c r="L45">
        <v>16</v>
      </c>
      <c r="M45">
        <v>2</v>
      </c>
    </row>
    <row r="46" spans="1:13" x14ac:dyDescent="0.3">
      <c r="A46" t="s">
        <v>100</v>
      </c>
      <c r="B46">
        <v>14</v>
      </c>
      <c r="C46">
        <v>10</v>
      </c>
      <c r="D46">
        <v>3</v>
      </c>
      <c r="E46">
        <v>133</v>
      </c>
      <c r="F46">
        <v>43</v>
      </c>
      <c r="G46">
        <v>19</v>
      </c>
      <c r="H46">
        <v>89</v>
      </c>
      <c r="I46">
        <v>149.43</v>
      </c>
      <c r="J46">
        <v>0</v>
      </c>
      <c r="K46">
        <v>0</v>
      </c>
      <c r="L46">
        <v>13</v>
      </c>
      <c r="M46">
        <v>4</v>
      </c>
    </row>
    <row r="47" spans="1:13" x14ac:dyDescent="0.3">
      <c r="A47" t="s">
        <v>101</v>
      </c>
      <c r="B47">
        <v>14</v>
      </c>
      <c r="C47">
        <v>14</v>
      </c>
      <c r="D47">
        <v>4</v>
      </c>
      <c r="E47">
        <v>128</v>
      </c>
      <c r="F47">
        <v>32</v>
      </c>
      <c r="G47">
        <v>12.8</v>
      </c>
      <c r="H47">
        <v>101</v>
      </c>
      <c r="I47">
        <v>126.73</v>
      </c>
      <c r="J47">
        <v>0</v>
      </c>
      <c r="K47">
        <v>0</v>
      </c>
      <c r="L47">
        <v>8</v>
      </c>
      <c r="M47">
        <v>5</v>
      </c>
    </row>
    <row r="48" spans="1:13" x14ac:dyDescent="0.3">
      <c r="A48" t="s">
        <v>102</v>
      </c>
      <c r="B48">
        <v>15</v>
      </c>
      <c r="C48">
        <v>12</v>
      </c>
      <c r="D48">
        <v>4</v>
      </c>
      <c r="E48">
        <v>124</v>
      </c>
      <c r="F48">
        <v>40</v>
      </c>
      <c r="G48">
        <v>15.5</v>
      </c>
      <c r="H48">
        <v>81</v>
      </c>
      <c r="I48">
        <v>153.08000000000001</v>
      </c>
      <c r="J48">
        <v>0</v>
      </c>
      <c r="K48">
        <v>0</v>
      </c>
      <c r="L48">
        <v>10</v>
      </c>
      <c r="M48">
        <v>8</v>
      </c>
    </row>
    <row r="49" spans="1:13" x14ac:dyDescent="0.3">
      <c r="A49" t="s">
        <v>75</v>
      </c>
      <c r="B49">
        <v>4</v>
      </c>
      <c r="C49">
        <v>4</v>
      </c>
      <c r="D49">
        <v>1</v>
      </c>
      <c r="E49">
        <v>120</v>
      </c>
      <c r="F49">
        <v>66</v>
      </c>
      <c r="G49">
        <v>40</v>
      </c>
      <c r="H49">
        <v>79</v>
      </c>
      <c r="I49">
        <v>151.88999999999999</v>
      </c>
      <c r="J49">
        <v>0</v>
      </c>
      <c r="K49">
        <v>1</v>
      </c>
      <c r="L49">
        <v>12</v>
      </c>
      <c r="M49">
        <v>3</v>
      </c>
    </row>
    <row r="50" spans="1:13" x14ac:dyDescent="0.3">
      <c r="A50" t="s">
        <v>103</v>
      </c>
      <c r="B50">
        <v>9</v>
      </c>
      <c r="C50">
        <v>9</v>
      </c>
      <c r="D50">
        <v>0</v>
      </c>
      <c r="E50">
        <v>119</v>
      </c>
      <c r="F50">
        <v>42</v>
      </c>
      <c r="G50">
        <v>13.22</v>
      </c>
      <c r="H50">
        <v>113</v>
      </c>
      <c r="I50">
        <v>105.3</v>
      </c>
      <c r="J50">
        <v>0</v>
      </c>
      <c r="K50">
        <v>0</v>
      </c>
      <c r="L50">
        <v>9</v>
      </c>
      <c r="M50">
        <v>4</v>
      </c>
    </row>
    <row r="51" spans="1:13" x14ac:dyDescent="0.3">
      <c r="A51" t="s">
        <v>104</v>
      </c>
      <c r="B51">
        <v>15</v>
      </c>
      <c r="C51">
        <v>13</v>
      </c>
      <c r="D51">
        <v>4</v>
      </c>
      <c r="E51">
        <v>112</v>
      </c>
      <c r="F51">
        <v>21</v>
      </c>
      <c r="G51">
        <v>12.44</v>
      </c>
      <c r="H51">
        <v>76</v>
      </c>
      <c r="I51">
        <v>147.36000000000001</v>
      </c>
      <c r="J51">
        <v>0</v>
      </c>
      <c r="K51">
        <v>0</v>
      </c>
      <c r="L51">
        <v>9</v>
      </c>
      <c r="M51">
        <v>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Cricket data</vt:lpstr>
      <vt:lpstr>PLAYERS</vt:lpstr>
      <vt:lpstr> Players</vt:lpstr>
      <vt:lpstr>TEAM</vt:lpstr>
      <vt:lpstr>Team </vt:lpstr>
      <vt:lpstr>Highest Runs against</vt:lpstr>
      <vt:lpstr>Boundry hitting players </vt:lpstr>
      <vt:lpstr>Highest Partnership and Ranking</vt:lpstr>
      <vt:lpstr>dashboard</vt:lpstr>
      <vt:lpstr>High Scores</vt:lpstr>
      <vt:lpstr>Most Runs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Sidharth Kriplani</dc:creator>
  <cp:lastModifiedBy>arshad selia</cp:lastModifiedBy>
  <dcterms:created xsi:type="dcterms:W3CDTF">2015-06-05T18:17:20Z</dcterms:created>
  <dcterms:modified xsi:type="dcterms:W3CDTF">2025-10-29T06:49:48Z</dcterms:modified>
</cp:coreProperties>
</file>